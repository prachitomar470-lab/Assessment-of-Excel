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tables/table5.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9_{D27EC323-5250-43BA-BCB3-268EA7AF2A75}" xr6:coauthVersionLast="47" xr6:coauthVersionMax="47" xr10:uidLastSave="{00000000-0000-0000-0000-000000000000}"/>
  <bookViews>
    <workbookView xWindow="-110" yWindow="-110" windowWidth="19420" windowHeight="10420" firstSheet="8" activeTab="9" xr2:uid="{2C234150-24BD-4502-A81C-3AE51B419FA0}"/>
  </bookViews>
  <sheets>
    <sheet name="Task1 Orders" sheetId="1" r:id="rId1"/>
    <sheet name="Premium Orders" sheetId="2" r:id="rId2"/>
    <sheet name="Restaurants" sheetId="3" r:id="rId3"/>
    <sheet name="Orders Task2" sheetId="4" r:id="rId4"/>
    <sheet name="Task3 Orders" sheetId="5" r:id="rId5"/>
    <sheet name="Pivot Table-1" sheetId="6" r:id="rId6"/>
    <sheet name="Pivot Table-2" sheetId="7" r:id="rId7"/>
    <sheet name="Task4_Data" sheetId="8" r:id="rId8"/>
    <sheet name="Stats Summary" sheetId="9" r:id="rId9"/>
    <sheet name="Orders" sheetId="10" r:id="rId10"/>
    <sheet name="Zone stats" sheetId="11" r:id="rId11"/>
    <sheet name="Sheet13" sheetId="13" r:id="rId12"/>
    <sheet name="Sheet14" sheetId="14" r:id="rId13"/>
    <sheet name="Dashboard" sheetId="15" r:id="rId14"/>
  </sheets>
  <definedNames>
    <definedName name="_xlnm._FilterDatabase" localSheetId="0" hidden="1">'Task1 Orders'!$A$1:$H$31</definedName>
    <definedName name="_xlnm.Criteria" localSheetId="0">'Task1 Orders'!$J$1:$L$2</definedName>
    <definedName name="_xlnm.Extract" localSheetId="0">'Task1 Orders'!$J$4:$Q$4</definedName>
    <definedName name="NativeTimeline_OrderDate">#N/A</definedName>
    <definedName name="NativeTimeline_OrderDate1">#N/A</definedName>
    <definedName name="Slicer_Cuisine">#N/A</definedName>
    <definedName name="Slicer_Zone">#N/A</definedName>
  </definedNames>
  <calcPr calcId="191029"/>
  <pivotCaches>
    <pivotCache cacheId="33" r:id="rId15"/>
    <pivotCache cacheId="42"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5" l="1"/>
  <c r="C2" i="15"/>
  <c r="A2" i="15"/>
  <c r="F3" i="11"/>
  <c r="F4" i="11"/>
  <c r="F5" i="11"/>
  <c r="F6" i="11"/>
  <c r="F2" i="11"/>
  <c r="E3" i="11"/>
  <c r="E4" i="11"/>
  <c r="E5" i="11"/>
  <c r="E6" i="11"/>
  <c r="E2" i="11"/>
  <c r="D3" i="11" a="1"/>
  <c r="D3" i="11" s="1"/>
  <c r="D4" i="11" a="1"/>
  <c r="D4" i="11"/>
  <c r="D5" i="11" a="1"/>
  <c r="D5" i="11" s="1"/>
  <c r="D6" i="11" a="1"/>
  <c r="D6" i="11" s="1"/>
  <c r="D2" i="11" a="1"/>
  <c r="D2" i="11" s="1"/>
  <c r="C3" i="11" a="1"/>
  <c r="C3" i="11" s="1"/>
  <c r="C4" i="11" a="1"/>
  <c r="C4" i="11"/>
  <c r="C5" i="11" a="1"/>
  <c r="C5" i="11" s="1"/>
  <c r="C6" i="11" a="1"/>
  <c r="C6" i="11" s="1"/>
  <c r="C2" i="11" a="1"/>
  <c r="C2" i="11" s="1"/>
  <c r="B3" i="11"/>
  <c r="B4" i="11"/>
  <c r="B5" i="11"/>
  <c r="B6" i="11"/>
  <c r="B2" i="11"/>
  <c r="K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F2" i="8"/>
  <c r="F4" i="8"/>
  <c r="F3"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2"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3" i="8"/>
  <c r="A2" i="8"/>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L3" i="4"/>
  <c r="L4" i="4"/>
  <c r="L5" i="4"/>
  <c r="L6" i="4"/>
  <c r="L2" i="4"/>
  <c r="I2" i="4"/>
  <c r="I3" i="4"/>
  <c r="I4" i="4"/>
  <c r="I5" i="4"/>
  <c r="I6" i="4"/>
  <c r="I7" i="4"/>
  <c r="I8" i="4"/>
  <c r="I9" i="4"/>
  <c r="I10" i="4"/>
  <c r="I11" i="4"/>
  <c r="I12" i="4"/>
  <c r="I13" i="4"/>
  <c r="I14" i="4"/>
  <c r="I15" i="4"/>
  <c r="I16" i="4"/>
  <c r="H2" i="4"/>
  <c r="H3" i="4"/>
  <c r="H4" i="4"/>
  <c r="H5" i="4"/>
  <c r="H6" i="4"/>
  <c r="H7" i="4"/>
  <c r="H8" i="4"/>
  <c r="H9" i="4"/>
  <c r="H10" i="4"/>
  <c r="H11" i="4"/>
  <c r="H12" i="4"/>
  <c r="H13" i="4"/>
  <c r="H14" i="4"/>
  <c r="H15" i="4"/>
  <c r="H16" i="4"/>
  <c r="B4" i="9" l="1"/>
  <c r="B8" i="9"/>
  <c r="B5" i="9"/>
  <c r="B9" i="9"/>
  <c r="B2" i="9"/>
  <c r="B6" i="9"/>
  <c r="B10" i="9"/>
  <c r="B3" i="9"/>
  <c r="B7" i="9"/>
  <c r="B11" i="9" l="1"/>
  <c r="B12" i="9" s="1"/>
  <c r="B13" i="9"/>
  <c r="E49" i="8" l="1"/>
  <c r="E29" i="8"/>
  <c r="E13" i="8"/>
  <c r="E48" i="8"/>
  <c r="E32" i="8"/>
  <c r="E16" i="8"/>
  <c r="E51" i="8"/>
  <c r="E35" i="8"/>
  <c r="E19" i="8"/>
  <c r="E3" i="8"/>
  <c r="E42" i="8"/>
  <c r="E26" i="8"/>
  <c r="E10" i="8"/>
  <c r="E33" i="8"/>
  <c r="E17" i="8"/>
  <c r="E2" i="8"/>
  <c r="E20" i="8"/>
  <c r="E4" i="8"/>
  <c r="E39" i="8"/>
  <c r="E7" i="8"/>
  <c r="E30" i="8"/>
  <c r="E41" i="8"/>
  <c r="E25" i="8"/>
  <c r="E9" i="8"/>
  <c r="E44" i="8"/>
  <c r="E28" i="8"/>
  <c r="E12" i="8"/>
  <c r="E47" i="8"/>
  <c r="E31" i="8"/>
  <c r="E15" i="8"/>
  <c r="E45" i="8"/>
  <c r="E38" i="8"/>
  <c r="E22" i="8"/>
  <c r="E6" i="8"/>
  <c r="E37" i="8"/>
  <c r="E21" i="8"/>
  <c r="E5" i="8"/>
  <c r="E40" i="8"/>
  <c r="E24" i="8"/>
  <c r="E8" i="8"/>
  <c r="E43" i="8"/>
  <c r="E27" i="8"/>
  <c r="E11" i="8"/>
  <c r="E50" i="8"/>
  <c r="E34" i="8"/>
  <c r="E18" i="8"/>
  <c r="E36" i="8"/>
  <c r="E23" i="8"/>
  <c r="E46" i="8"/>
  <c r="E14"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<sst xmlns="http://schemas.openxmlformats.org/spreadsheetml/2006/main" count="1447" uniqueCount="314">
  <si>
    <t>OrderID</t>
  </si>
  <si>
    <t>CustomerName</t>
  </si>
  <si>
    <t>Cuisine</t>
  </si>
  <si>
    <t>OrderDate</t>
  </si>
  <si>
    <t>DeliveryTime (minutes)</t>
  </si>
  <si>
    <t>Rating</t>
  </si>
  <si>
    <t>Revenue (Rs)</t>
  </si>
  <si>
    <t>Status</t>
  </si>
  <si>
    <t>O1001</t>
  </si>
  <si>
    <t>Riya Sharma</t>
  </si>
  <si>
    <t>Indian</t>
  </si>
  <si>
    <t>Delivered</t>
  </si>
  <si>
    <t>O1002</t>
  </si>
  <si>
    <t>Aman Patel</t>
  </si>
  <si>
    <t>Chinese</t>
  </si>
  <si>
    <t>O1003</t>
  </si>
  <si>
    <t>Neha Singh</t>
  </si>
  <si>
    <t>Italian</t>
  </si>
  <si>
    <t>Delayed</t>
  </si>
  <si>
    <t>O1004</t>
  </si>
  <si>
    <t>Rahul Mehta</t>
  </si>
  <si>
    <t>Mexican</t>
  </si>
  <si>
    <t>O1005</t>
  </si>
  <si>
    <t>Priya Shah</t>
  </si>
  <si>
    <t>Fast Food</t>
  </si>
  <si>
    <t>O1006</t>
  </si>
  <si>
    <t>Arjun Verma</t>
  </si>
  <si>
    <t>O1007</t>
  </si>
  <si>
    <t>Anjali Patel</t>
  </si>
  <si>
    <t>O1008</t>
  </si>
  <si>
    <t>Karan Joshi</t>
  </si>
  <si>
    <t>O1009</t>
  </si>
  <si>
    <t>Simran Kaur</t>
  </si>
  <si>
    <t>O1010</t>
  </si>
  <si>
    <t>Mohit Shah</t>
  </si>
  <si>
    <t>Cancelled</t>
  </si>
  <si>
    <t>O1011</t>
  </si>
  <si>
    <t>Kavya Mehta</t>
  </si>
  <si>
    <t>O1012</t>
  </si>
  <si>
    <t>Yash Patel</t>
  </si>
  <si>
    <t>O1013</t>
  </si>
  <si>
    <t>Ishita Sharma</t>
  </si>
  <si>
    <t>O1014</t>
  </si>
  <si>
    <t>Dev Kumar</t>
  </si>
  <si>
    <t>O1015</t>
  </si>
  <si>
    <t>Pooja Singh</t>
  </si>
  <si>
    <t>O1016</t>
  </si>
  <si>
    <t>Aditya Shah</t>
  </si>
  <si>
    <t>O1017</t>
  </si>
  <si>
    <t>Meera Patel</t>
  </si>
  <si>
    <t>O1018</t>
  </si>
  <si>
    <t>Rohan Mehta</t>
  </si>
  <si>
    <t>O1019</t>
  </si>
  <si>
    <t>Tanya Joshi</t>
  </si>
  <si>
    <t>O1020</t>
  </si>
  <si>
    <t>Vivek Sharma</t>
  </si>
  <si>
    <t>O1021</t>
  </si>
  <si>
    <t>Sneha Patel</t>
  </si>
  <si>
    <t>O1022</t>
  </si>
  <si>
    <t>Harsh Shah</t>
  </si>
  <si>
    <t>O1023</t>
  </si>
  <si>
    <t>Divya Mehta</t>
  </si>
  <si>
    <t>O1024</t>
  </si>
  <si>
    <t>Nikhil Patel</t>
  </si>
  <si>
    <t>O1025</t>
  </si>
  <si>
    <t>Ayesha Khan</t>
  </si>
  <si>
    <t>O1026</t>
  </si>
  <si>
    <t>Manav Singh</t>
  </si>
  <si>
    <t>O1027</t>
  </si>
  <si>
    <t>Rhea Sharma</t>
  </si>
  <si>
    <t>O1028</t>
  </si>
  <si>
    <t>Varun Patel</t>
  </si>
  <si>
    <t>O1029</t>
  </si>
  <si>
    <t>Komal Shah</t>
  </si>
  <si>
    <t>O1030</t>
  </si>
  <si>
    <t>Sahil Mehta</t>
  </si>
  <si>
    <t>Revenue</t>
  </si>
  <si>
    <t>Revenue(Rs)</t>
  </si>
  <si>
    <t>&gt;500</t>
  </si>
  <si>
    <t>&gt;=4</t>
  </si>
  <si>
    <t>R001</t>
  </si>
  <si>
    <t>Spice Hub</t>
  </si>
  <si>
    <t>North</t>
  </si>
  <si>
    <t>Cloud Kitchen</t>
  </si>
  <si>
    <t>R002</t>
  </si>
  <si>
    <t>Dragon Bowl</t>
  </si>
  <si>
    <t>South</t>
  </si>
  <si>
    <t>QSR</t>
  </si>
  <si>
    <t>R003</t>
  </si>
  <si>
    <t>Pasta Point</t>
  </si>
  <si>
    <t>East</t>
  </si>
  <si>
    <t>Dine-in</t>
  </si>
  <si>
    <t>R004</t>
  </si>
  <si>
    <t>Taco Town</t>
  </si>
  <si>
    <t>West</t>
  </si>
  <si>
    <t>R005</t>
  </si>
  <si>
    <t>Curry House</t>
  </si>
  <si>
    <t>Central</t>
  </si>
  <si>
    <t>R006</t>
  </si>
  <si>
    <t>Desi Zaika</t>
  </si>
  <si>
    <t>R007</t>
  </si>
  <si>
    <t>China Garden</t>
  </si>
  <si>
    <t>R008</t>
  </si>
  <si>
    <t>Italiano</t>
  </si>
  <si>
    <t>R009</t>
  </si>
  <si>
    <t>Mexican Grill</t>
  </si>
  <si>
    <t>R010</t>
  </si>
  <si>
    <t>Food Factory</t>
  </si>
  <si>
    <t>R011</t>
  </si>
  <si>
    <t>Punjabi Tadka</t>
  </si>
  <si>
    <t>R012</t>
  </si>
  <si>
    <t>Wok Express</t>
  </si>
  <si>
    <t>R013</t>
  </si>
  <si>
    <t>Pizza Corner</t>
  </si>
  <si>
    <t>R014</t>
  </si>
  <si>
    <t>Burrito House</t>
  </si>
  <si>
    <t>R015</t>
  </si>
  <si>
    <t>Ahmedabad Bites</t>
  </si>
  <si>
    <t>Restaurant ID</t>
  </si>
  <si>
    <t>Restaurant Name</t>
  </si>
  <si>
    <t xml:space="preserve">Zone </t>
  </si>
  <si>
    <t>Category</t>
  </si>
  <si>
    <t>Avg Rating</t>
  </si>
  <si>
    <t xml:space="preserve">OrderID </t>
  </si>
  <si>
    <t xml:space="preserve"> RestaurantID </t>
  </si>
  <si>
    <t xml:space="preserve"> OrderDate </t>
  </si>
  <si>
    <t xml:space="preserve"> Cuisine </t>
  </si>
  <si>
    <t xml:space="preserve"> Revenue (Rs) </t>
  </si>
  <si>
    <t xml:space="preserve"> DeliveryTime </t>
  </si>
  <si>
    <t xml:space="preserve"> Status</t>
  </si>
  <si>
    <t>O2001</t>
  </si>
  <si>
    <t>O2002</t>
  </si>
  <si>
    <t>O2003</t>
  </si>
  <si>
    <t>O2004</t>
  </si>
  <si>
    <t>O2005</t>
  </si>
  <si>
    <t>O2006</t>
  </si>
  <si>
    <t>O2007</t>
  </si>
  <si>
    <t>O2008</t>
  </si>
  <si>
    <t>O2009</t>
  </si>
  <si>
    <t>O2010</t>
  </si>
  <si>
    <t>O2011</t>
  </si>
  <si>
    <t>O2012</t>
  </si>
  <si>
    <t>O2013</t>
  </si>
  <si>
    <t>O2014</t>
  </si>
  <si>
    <t>O2015</t>
  </si>
  <si>
    <t>Zone</t>
  </si>
  <si>
    <t>Average Revenue</t>
  </si>
  <si>
    <t xml:space="preserve">OrderDate </t>
  </si>
  <si>
    <t xml:space="preserve"> Zone </t>
  </si>
  <si>
    <t xml:space="preserve"> Revenue </t>
  </si>
  <si>
    <t>Row Labels</t>
  </si>
  <si>
    <t>Grand Total</t>
  </si>
  <si>
    <t>Column Labels</t>
  </si>
  <si>
    <t xml:space="preserve">Sum of  Revenue </t>
  </si>
  <si>
    <t>(All)</t>
  </si>
  <si>
    <t>Jul</t>
  </si>
  <si>
    <t>Aug</t>
  </si>
  <si>
    <t>Sep</t>
  </si>
  <si>
    <t xml:space="preserve">Count of OrderDate </t>
  </si>
  <si>
    <t>Qtr3</t>
  </si>
  <si>
    <t>Orders</t>
  </si>
  <si>
    <t xml:space="preserve">Total Sum of  Revenue </t>
  </si>
  <si>
    <t>Total Sum of AvgRevenuePerOrder</t>
  </si>
  <si>
    <t>Sum of AvgRevenuePerOrder</t>
  </si>
  <si>
    <t>DeliveryTime</t>
  </si>
  <si>
    <t>Statistic</t>
  </si>
  <si>
    <t>Value</t>
  </si>
  <si>
    <t>Average</t>
  </si>
  <si>
    <t>Median</t>
  </si>
  <si>
    <t>Mode</t>
  </si>
  <si>
    <t>Standard Deviation</t>
  </si>
  <si>
    <t>Variance</t>
  </si>
  <si>
    <t>Minimum</t>
  </si>
  <si>
    <t>Maximum</t>
  </si>
  <si>
    <t>Q1</t>
  </si>
  <si>
    <t>Q3</t>
  </si>
  <si>
    <t>IQR</t>
  </si>
  <si>
    <t>Lower Bound</t>
  </si>
  <si>
    <t>Upper Bound</t>
  </si>
  <si>
    <t>Outlier Flag</t>
  </si>
  <si>
    <t>Correlation</t>
  </si>
  <si>
    <t xml:space="preserve"> Rating </t>
  </si>
  <si>
    <t>O3001</t>
  </si>
  <si>
    <t>O3002</t>
  </si>
  <si>
    <t>O3003</t>
  </si>
  <si>
    <t>O3004</t>
  </si>
  <si>
    <t>O3005</t>
  </si>
  <si>
    <t>O3006</t>
  </si>
  <si>
    <t>O3007</t>
  </si>
  <si>
    <t>O3008</t>
  </si>
  <si>
    <t>O3009</t>
  </si>
  <si>
    <t>O3010</t>
  </si>
  <si>
    <t>O3011</t>
  </si>
  <si>
    <t>O3012</t>
  </si>
  <si>
    <t>O3013</t>
  </si>
  <si>
    <t>O3014</t>
  </si>
  <si>
    <t>O3015</t>
  </si>
  <si>
    <t>O3016</t>
  </si>
  <si>
    <t>O3017</t>
  </si>
  <si>
    <t>O3018</t>
  </si>
  <si>
    <t>O3019</t>
  </si>
  <si>
    <t>O3020</t>
  </si>
  <si>
    <t>O3021</t>
  </si>
  <si>
    <t>O3022</t>
  </si>
  <si>
    <t>O3023</t>
  </si>
  <si>
    <t>O3024</t>
  </si>
  <si>
    <t>O3025</t>
  </si>
  <si>
    <t>O3026</t>
  </si>
  <si>
    <t>O3027</t>
  </si>
  <si>
    <t>O3028</t>
  </si>
  <si>
    <t>O3029</t>
  </si>
  <si>
    <t>O3030</t>
  </si>
  <si>
    <t>O3031</t>
  </si>
  <si>
    <t>O3032</t>
  </si>
  <si>
    <t>O3033</t>
  </si>
  <si>
    <t>O3034</t>
  </si>
  <si>
    <t>O3035</t>
  </si>
  <si>
    <t>O3036</t>
  </si>
  <si>
    <t>O3037</t>
  </si>
  <si>
    <t>O3038</t>
  </si>
  <si>
    <t>O3039</t>
  </si>
  <si>
    <t>O3040</t>
  </si>
  <si>
    <t>O3041</t>
  </si>
  <si>
    <t>O3042</t>
  </si>
  <si>
    <t>O3043</t>
  </si>
  <si>
    <t>O3044</t>
  </si>
  <si>
    <t>O3045</t>
  </si>
  <si>
    <t>O3046</t>
  </si>
  <si>
    <t>O3047</t>
  </si>
  <si>
    <t>O3048</t>
  </si>
  <si>
    <t>O3049</t>
  </si>
  <si>
    <t>O3050</t>
  </si>
  <si>
    <t>O3051</t>
  </si>
  <si>
    <t>O3052</t>
  </si>
  <si>
    <t>O3053</t>
  </si>
  <si>
    <t>O3054</t>
  </si>
  <si>
    <t>O3055</t>
  </si>
  <si>
    <t>O3056</t>
  </si>
  <si>
    <t>O3057</t>
  </si>
  <si>
    <t>O3058</t>
  </si>
  <si>
    <t>O3059</t>
  </si>
  <si>
    <t>O3060</t>
  </si>
  <si>
    <t>O3061</t>
  </si>
  <si>
    <t>O3062</t>
  </si>
  <si>
    <t>O3063</t>
  </si>
  <si>
    <t>O3064</t>
  </si>
  <si>
    <t>O3065</t>
  </si>
  <si>
    <t>O3066</t>
  </si>
  <si>
    <t>O3067</t>
  </si>
  <si>
    <t>O3068</t>
  </si>
  <si>
    <t>O3069</t>
  </si>
  <si>
    <t>O3070</t>
  </si>
  <si>
    <t>O3071</t>
  </si>
  <si>
    <t>O3072</t>
  </si>
  <si>
    <t>O3073</t>
  </si>
  <si>
    <t>O3074</t>
  </si>
  <si>
    <t>O3075</t>
  </si>
  <si>
    <t>O3076</t>
  </si>
  <si>
    <t>O3077</t>
  </si>
  <si>
    <t>O3078</t>
  </si>
  <si>
    <t>O3079</t>
  </si>
  <si>
    <t>O3080</t>
  </si>
  <si>
    <t>O3081</t>
  </si>
  <si>
    <t>O3082</t>
  </si>
  <si>
    <t>O3083</t>
  </si>
  <si>
    <t>O3084</t>
  </si>
  <si>
    <t>O3085</t>
  </si>
  <si>
    <t>O3086</t>
  </si>
  <si>
    <t>O3087</t>
  </si>
  <si>
    <t>O3088</t>
  </si>
  <si>
    <t>O3089</t>
  </si>
  <si>
    <t>O3090</t>
  </si>
  <si>
    <t>O3091</t>
  </si>
  <si>
    <t>O3092</t>
  </si>
  <si>
    <t>O3093</t>
  </si>
  <si>
    <t>O3094</t>
  </si>
  <si>
    <t>O3095</t>
  </si>
  <si>
    <t>O3096</t>
  </si>
  <si>
    <t>O3097</t>
  </si>
  <si>
    <t>O3098</t>
  </si>
  <si>
    <t>O3099</t>
  </si>
  <si>
    <t>O3100</t>
  </si>
  <si>
    <t>O3101</t>
  </si>
  <si>
    <t>O3102</t>
  </si>
  <si>
    <t>O3103</t>
  </si>
  <si>
    <t>O3104</t>
  </si>
  <si>
    <t>O3105</t>
  </si>
  <si>
    <t>O3106</t>
  </si>
  <si>
    <t>O3107</t>
  </si>
  <si>
    <t>O3108</t>
  </si>
  <si>
    <t>O3109</t>
  </si>
  <si>
    <t>O3110</t>
  </si>
  <si>
    <t>O3111</t>
  </si>
  <si>
    <t>O3112</t>
  </si>
  <si>
    <t>O3113</t>
  </si>
  <si>
    <t>O3114</t>
  </si>
  <si>
    <t>O3115</t>
  </si>
  <si>
    <t>O3116</t>
  </si>
  <si>
    <t>O3117</t>
  </si>
  <si>
    <t>O3118</t>
  </si>
  <si>
    <t>O3119</t>
  </si>
  <si>
    <t>O3120</t>
  </si>
  <si>
    <t xml:space="preserve">Restaurant Name </t>
  </si>
  <si>
    <t>Categories</t>
  </si>
  <si>
    <t>Mean Delivery Time</t>
  </si>
  <si>
    <t>Median DeliveryTime</t>
  </si>
  <si>
    <t>Std Dev DeliveryTime</t>
  </si>
  <si>
    <t>Mean Revenue</t>
  </si>
  <si>
    <t>Delivery Flag</t>
  </si>
  <si>
    <t>Oct</t>
  </si>
  <si>
    <t xml:space="preserve">Count of OrderID </t>
  </si>
  <si>
    <t>Total Revenue</t>
  </si>
  <si>
    <t>Average Rating</t>
  </si>
  <si>
    <t>On-Time Delivery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</si>
</sst>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dd/mm/yyyy;@"/>
    <numFmt numFmtId="171" formatCode="0.00000"/>
    <numFmt numFmtId="172" formatCode="0.0000"/>
    <numFmt numFmtId="173" formatCode="0.000"/>
    <numFmt numFmtId="177" formatCode="_ [$₹-439]* #,##0.00_ ;_ [$₹-439]* \-#,##0.00_ ;_ [$₹-439]* &quot;-&quot;??_ ;_ @_ "/>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theme="1"/>
      <name val="Arial Unicode MS"/>
      <family val="2"/>
    </font>
  </fonts>
  <fills count="4">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4" fontId="0" fillId="0" borderId="0" xfId="0" applyNumberFormat="1"/>
    <xf numFmtId="0" fontId="0" fillId="0" borderId="0" xfId="0" applyAlignment="1">
      <alignment horizontal="center"/>
    </xf>
    <xf numFmtId="0" fontId="0" fillId="0" borderId="0" xfId="0" applyAlignment="1"/>
    <xf numFmtId="165" fontId="0" fillId="0" borderId="0" xfId="0" applyNumberFormat="1" applyAlignment="1"/>
    <xf numFmtId="0" fontId="0" fillId="2" borderId="0" xfId="0" applyFill="1" applyAlignment="1"/>
    <xf numFmtId="165" fontId="0" fillId="2" borderId="0" xfId="0" applyNumberFormat="1" applyFill="1" applyAlignment="1"/>
    <xf numFmtId="0" fontId="0" fillId="3" borderId="2" xfId="0" applyFont="1" applyFill="1" applyBorder="1"/>
    <xf numFmtId="0" fontId="0" fillId="0" borderId="0" xfId="0" applyAlignment="1">
      <alignment horizontal="center" vertical="center" wrapText="1"/>
    </xf>
    <xf numFmtId="0" fontId="0" fillId="0" borderId="0" xfId="0" applyAlignment="1">
      <alignment vertical="center" wrapText="1"/>
    </xf>
    <xf numFmtId="0" fontId="0" fillId="2" borderId="0" xfId="0" applyFill="1" applyAlignment="1">
      <alignment horizontal="center" vertical="center" wrapText="1"/>
    </xf>
    <xf numFmtId="0" fontId="3" fillId="0" borderId="0" xfId="0" applyFont="1"/>
    <xf numFmtId="0" fontId="3" fillId="0" borderId="0" xfId="0" applyFont="1" applyAlignment="1"/>
    <xf numFmtId="0" fontId="3" fillId="2" borderId="0" xfId="0" applyFont="1" applyFill="1"/>
    <xf numFmtId="0" fontId="0" fillId="0" borderId="2" xfId="0" applyFont="1" applyBorder="1"/>
    <xf numFmtId="171" fontId="0" fillId="0" borderId="0" xfId="0" applyNumberFormat="1"/>
    <xf numFmtId="172" fontId="0" fillId="0" borderId="0" xfId="0" applyNumberFormat="1"/>
    <xf numFmtId="173" fontId="0" fillId="0" borderId="0" xfId="0" applyNumberFormat="1"/>
    <xf numFmtId="0" fontId="0" fillId="2" borderId="3" xfId="0" applyFill="1" applyBorder="1" applyAlignment="1">
      <alignment vertical="center" wrapText="1"/>
    </xf>
    <xf numFmtId="0" fontId="0" fillId="2" borderId="4" xfId="0" applyFill="1" applyBorder="1" applyAlignment="1">
      <alignment vertical="center" wrapText="1"/>
    </xf>
    <xf numFmtId="0" fontId="0" fillId="0" borderId="5" xfId="0" applyBorder="1"/>
    <xf numFmtId="177" fontId="0" fillId="0" borderId="6" xfId="0" applyNumberFormat="1" applyBorder="1" applyAlignment="1">
      <alignment horizontal="right" vertical="center"/>
    </xf>
    <xf numFmtId="0" fontId="0" fillId="0" borderId="7" xfId="0" applyBorder="1"/>
    <xf numFmtId="177" fontId="0" fillId="0" borderId="8" xfId="0" applyNumberFormat="1" applyBorder="1" applyAlignment="1">
      <alignment horizontal="right" vertic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4" fontId="0" fillId="0" borderId="0" xfId="0" applyNumberFormat="1" applyAlignment="1">
      <alignment horizontal="left" indent="1"/>
    </xf>
    <xf numFmtId="0" fontId="2" fillId="2" borderId="1" xfId="0" applyFont="1" applyFill="1" applyBorder="1"/>
    <xf numFmtId="0" fontId="2" fillId="2" borderId="2" xfId="0" applyFont="1" applyFill="1" applyBorder="1"/>
    <xf numFmtId="14" fontId="0" fillId="3" borderId="1" xfId="0" applyNumberFormat="1" applyFont="1" applyFill="1" applyBorder="1"/>
    <xf numFmtId="14" fontId="0" fillId="0" borderId="1" xfId="0" applyNumberFormat="1" applyFont="1" applyBorder="1"/>
    <xf numFmtId="0" fontId="3" fillId="2" borderId="0" xfId="0" applyFont="1" applyFill="1" applyAlignment="1">
      <alignment vertical="center" wrapText="1"/>
    </xf>
    <xf numFmtId="0" fontId="4" fillId="0" borderId="0" xfId="0" applyFont="1"/>
    <xf numFmtId="0" fontId="3" fillId="2" borderId="0" xfId="0" applyFont="1" applyFill="1" applyAlignment="1">
      <alignment horizontal="center"/>
    </xf>
    <xf numFmtId="0" fontId="3" fillId="2" borderId="0" xfId="0" applyFont="1" applyFill="1" applyAlignment="1">
      <alignment horizontal="center" vertical="center" wrapText="1"/>
    </xf>
    <xf numFmtId="9" fontId="0" fillId="0" borderId="0" xfId="1" applyFont="1"/>
  </cellXfs>
  <cellStyles count="2">
    <cellStyle name="Normal" xfId="0" builtinId="0"/>
    <cellStyle name="Percent" xfId="1" builtinId="5"/>
  </cellStyles>
  <dxfs count="32">
    <dxf>
      <font>
        <color rgb="FF9C0006"/>
      </font>
      <fill>
        <patternFill>
          <bgColor rgb="FFFFC7CE"/>
        </patternFill>
      </fill>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dxf>
    <dxf>
      <numFmt numFmtId="19" formatCode="m/d/yyyy"/>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0" formatCode="General"/>
    </dxf>
    <dxf>
      <fill>
        <patternFill patternType="solid">
          <fgColor indexed="64"/>
          <bgColor theme="2" tint="-9.9978637043366805E-2"/>
        </patternFill>
      </fill>
    </dxf>
    <dxf>
      <numFmt numFmtId="19" formatCode="m/d/yyyy"/>
    </dxf>
    <dxf>
      <numFmt numFmtId="0" formatCode="General"/>
    </dxf>
    <dxf>
      <numFmt numFmtId="0" formatCode="General"/>
    </dxf>
    <dxf>
      <font>
        <b/>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dxf>
    <dxf>
      <numFmt numFmtId="19" formatCode="m/d/yyyy"/>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5" formatCode="d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solid">
          <fgColor indexed="64"/>
          <bgColor theme="2" tint="-9.9978637043366805E-2"/>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11/relationships/timelineCache" Target="timelineCaches/timeline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 sec-B.xlsx]Pivot Table-1!PivotTable1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Table-1'!$B$3:$B$5</c:f>
              <c:strCache>
                <c:ptCount val="1"/>
                <c:pt idx="0">
                  <c:v>Central - Sum of  Revenue </c:v>
                </c:pt>
              </c:strCache>
            </c:strRef>
          </c:tx>
          <c:spPr>
            <a:solidFill>
              <a:schemeClr val="accent1"/>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Table-1'!$B$6:$B$11</c:f>
              <c:numCache>
                <c:formatCode>General</c:formatCode>
                <c:ptCount val="5"/>
                <c:pt idx="1">
                  <c:v>1980</c:v>
                </c:pt>
                <c:pt idx="4">
                  <c:v>2545</c:v>
                </c:pt>
              </c:numCache>
            </c:numRef>
          </c:val>
          <c:extLst>
            <c:ext xmlns:c16="http://schemas.microsoft.com/office/drawing/2014/chart" uri="{C3380CC4-5D6E-409C-BE32-E72D297353CC}">
              <c16:uniqueId val="{00000000-FAE3-45E7-A037-C3196279BB7D}"/>
            </c:ext>
          </c:extLst>
        </c:ser>
        <c:ser>
          <c:idx val="1"/>
          <c:order val="1"/>
          <c:tx>
            <c:strRef>
              <c:f>'Pivot Table-1'!$C$3:$C$5</c:f>
              <c:strCache>
                <c:ptCount val="1"/>
                <c:pt idx="0">
                  <c:v>Central - Sum of AvgRevenuePerOrder</c:v>
                </c:pt>
              </c:strCache>
            </c:strRef>
          </c:tx>
          <c:spPr>
            <a:solidFill>
              <a:schemeClr val="accent2"/>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Table-1'!$C$6:$C$11</c:f>
              <c:numCache>
                <c:formatCode>General</c:formatCode>
                <c:ptCount val="5"/>
                <c:pt idx="0">
                  <c:v>#N/A</c:v>
                </c:pt>
                <c:pt idx="1">
                  <c:v>396</c:v>
                </c:pt>
                <c:pt idx="2">
                  <c:v>#N/A</c:v>
                </c:pt>
                <c:pt idx="3">
                  <c:v>#N/A</c:v>
                </c:pt>
                <c:pt idx="4">
                  <c:v>509</c:v>
                </c:pt>
              </c:numCache>
            </c:numRef>
          </c:val>
          <c:extLst>
            <c:ext xmlns:c16="http://schemas.microsoft.com/office/drawing/2014/chart" uri="{C3380CC4-5D6E-409C-BE32-E72D297353CC}">
              <c16:uniqueId val="{00000001-FAE3-45E7-A037-C3196279BB7D}"/>
            </c:ext>
          </c:extLst>
        </c:ser>
        <c:ser>
          <c:idx val="2"/>
          <c:order val="2"/>
          <c:tx>
            <c:strRef>
              <c:f>'Pivot Table-1'!$D$3:$D$5</c:f>
              <c:strCache>
                <c:ptCount val="1"/>
                <c:pt idx="0">
                  <c:v>East - Sum of  Revenue </c:v>
                </c:pt>
              </c:strCache>
            </c:strRef>
          </c:tx>
          <c:spPr>
            <a:solidFill>
              <a:schemeClr val="accent3"/>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Table-1'!$D$6:$D$11</c:f>
              <c:numCache>
                <c:formatCode>General</c:formatCode>
                <c:ptCount val="5"/>
                <c:pt idx="0">
                  <c:v>1590</c:v>
                </c:pt>
                <c:pt idx="2">
                  <c:v>2060</c:v>
                </c:pt>
                <c:pt idx="3">
                  <c:v>3170</c:v>
                </c:pt>
              </c:numCache>
            </c:numRef>
          </c:val>
          <c:extLst>
            <c:ext xmlns:c16="http://schemas.microsoft.com/office/drawing/2014/chart" uri="{C3380CC4-5D6E-409C-BE32-E72D297353CC}">
              <c16:uniqueId val="{00000002-FAE3-45E7-A037-C3196279BB7D}"/>
            </c:ext>
          </c:extLst>
        </c:ser>
        <c:ser>
          <c:idx val="3"/>
          <c:order val="3"/>
          <c:tx>
            <c:strRef>
              <c:f>'Pivot Table-1'!$E$3:$E$5</c:f>
              <c:strCache>
                <c:ptCount val="1"/>
                <c:pt idx="0">
                  <c:v>East - Sum of AvgRevenuePerOrder</c:v>
                </c:pt>
              </c:strCache>
            </c:strRef>
          </c:tx>
          <c:spPr>
            <a:solidFill>
              <a:schemeClr val="accent4"/>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Table-1'!$E$6:$E$11</c:f>
              <c:numCache>
                <c:formatCode>General</c:formatCode>
                <c:ptCount val="5"/>
                <c:pt idx="0">
                  <c:v>530</c:v>
                </c:pt>
                <c:pt idx="1">
                  <c:v>#N/A</c:v>
                </c:pt>
                <c:pt idx="2">
                  <c:v>686.66666666666663</c:v>
                </c:pt>
                <c:pt idx="3">
                  <c:v>792.5</c:v>
                </c:pt>
                <c:pt idx="4">
                  <c:v>#N/A</c:v>
                </c:pt>
              </c:numCache>
            </c:numRef>
          </c:val>
          <c:extLst>
            <c:ext xmlns:c16="http://schemas.microsoft.com/office/drawing/2014/chart" uri="{C3380CC4-5D6E-409C-BE32-E72D297353CC}">
              <c16:uniqueId val="{00000003-FAE3-45E7-A037-C3196279BB7D}"/>
            </c:ext>
          </c:extLst>
        </c:ser>
        <c:ser>
          <c:idx val="4"/>
          <c:order val="4"/>
          <c:tx>
            <c:strRef>
              <c:f>'Pivot Table-1'!$F$3:$F$5</c:f>
              <c:strCache>
                <c:ptCount val="1"/>
                <c:pt idx="0">
                  <c:v>North - Sum of  Revenue </c:v>
                </c:pt>
              </c:strCache>
            </c:strRef>
          </c:tx>
          <c:spPr>
            <a:solidFill>
              <a:schemeClr val="accent5"/>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Table-1'!$F$6:$F$11</c:f>
              <c:numCache>
                <c:formatCode>General</c:formatCode>
                <c:ptCount val="5"/>
                <c:pt idx="0">
                  <c:v>1670</c:v>
                </c:pt>
                <c:pt idx="2">
                  <c:v>2750</c:v>
                </c:pt>
                <c:pt idx="3">
                  <c:v>2560</c:v>
                </c:pt>
              </c:numCache>
            </c:numRef>
          </c:val>
          <c:extLst>
            <c:ext xmlns:c16="http://schemas.microsoft.com/office/drawing/2014/chart" uri="{C3380CC4-5D6E-409C-BE32-E72D297353CC}">
              <c16:uniqueId val="{00000004-FAE3-45E7-A037-C3196279BB7D}"/>
            </c:ext>
          </c:extLst>
        </c:ser>
        <c:ser>
          <c:idx val="5"/>
          <c:order val="5"/>
          <c:tx>
            <c:strRef>
              <c:f>'Pivot Table-1'!$G$3:$G$5</c:f>
              <c:strCache>
                <c:ptCount val="1"/>
                <c:pt idx="0">
                  <c:v>North - Sum of AvgRevenuePerOrder</c:v>
                </c:pt>
              </c:strCache>
            </c:strRef>
          </c:tx>
          <c:spPr>
            <a:solidFill>
              <a:schemeClr val="accent6"/>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Table-1'!$G$6:$G$11</c:f>
              <c:numCache>
                <c:formatCode>General</c:formatCode>
                <c:ptCount val="5"/>
                <c:pt idx="0">
                  <c:v>556.66666666666663</c:v>
                </c:pt>
                <c:pt idx="1">
                  <c:v>#N/A</c:v>
                </c:pt>
                <c:pt idx="2">
                  <c:v>687.5</c:v>
                </c:pt>
                <c:pt idx="3">
                  <c:v>853.33333333333337</c:v>
                </c:pt>
                <c:pt idx="4">
                  <c:v>#N/A</c:v>
                </c:pt>
              </c:numCache>
            </c:numRef>
          </c:val>
          <c:extLst>
            <c:ext xmlns:c16="http://schemas.microsoft.com/office/drawing/2014/chart" uri="{C3380CC4-5D6E-409C-BE32-E72D297353CC}">
              <c16:uniqueId val="{00000005-FAE3-45E7-A037-C3196279BB7D}"/>
            </c:ext>
          </c:extLst>
        </c:ser>
        <c:ser>
          <c:idx val="6"/>
          <c:order val="6"/>
          <c:tx>
            <c:strRef>
              <c:f>'Pivot Table-1'!$H$3:$H$5</c:f>
              <c:strCache>
                <c:ptCount val="1"/>
                <c:pt idx="0">
                  <c:v>South - Sum of  Revenue </c:v>
                </c:pt>
              </c:strCache>
            </c:strRef>
          </c:tx>
          <c:spPr>
            <a:solidFill>
              <a:schemeClr val="accent1">
                <a:lumMod val="60000"/>
              </a:schemeClr>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Table-1'!$H$6:$H$11</c:f>
              <c:numCache>
                <c:formatCode>General</c:formatCode>
                <c:ptCount val="5"/>
                <c:pt idx="0">
                  <c:v>2190</c:v>
                </c:pt>
                <c:pt idx="2">
                  <c:v>2090</c:v>
                </c:pt>
                <c:pt idx="3">
                  <c:v>2740</c:v>
                </c:pt>
              </c:numCache>
            </c:numRef>
          </c:val>
          <c:extLst>
            <c:ext xmlns:c16="http://schemas.microsoft.com/office/drawing/2014/chart" uri="{C3380CC4-5D6E-409C-BE32-E72D297353CC}">
              <c16:uniqueId val="{0000000B-FAE3-45E7-A037-C3196279BB7D}"/>
            </c:ext>
          </c:extLst>
        </c:ser>
        <c:ser>
          <c:idx val="7"/>
          <c:order val="7"/>
          <c:tx>
            <c:strRef>
              <c:f>'Pivot Table-1'!$I$3:$I$5</c:f>
              <c:strCache>
                <c:ptCount val="1"/>
                <c:pt idx="0">
                  <c:v>South - Sum of AvgRevenuePerOrder</c:v>
                </c:pt>
              </c:strCache>
            </c:strRef>
          </c:tx>
          <c:spPr>
            <a:solidFill>
              <a:schemeClr val="accent2">
                <a:lumMod val="60000"/>
              </a:schemeClr>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Table-1'!$I$6:$I$11</c:f>
              <c:numCache>
                <c:formatCode>General</c:formatCode>
                <c:ptCount val="5"/>
                <c:pt idx="0">
                  <c:v>547.5</c:v>
                </c:pt>
                <c:pt idx="1">
                  <c:v>#N/A</c:v>
                </c:pt>
                <c:pt idx="2">
                  <c:v>696.66666666666663</c:v>
                </c:pt>
                <c:pt idx="3">
                  <c:v>913.33333333333337</c:v>
                </c:pt>
                <c:pt idx="4">
                  <c:v>#N/A</c:v>
                </c:pt>
              </c:numCache>
            </c:numRef>
          </c:val>
          <c:extLst>
            <c:ext xmlns:c16="http://schemas.microsoft.com/office/drawing/2014/chart" uri="{C3380CC4-5D6E-409C-BE32-E72D297353CC}">
              <c16:uniqueId val="{0000000C-FAE3-45E7-A037-C3196279BB7D}"/>
            </c:ext>
          </c:extLst>
        </c:ser>
        <c:ser>
          <c:idx val="8"/>
          <c:order val="8"/>
          <c:tx>
            <c:strRef>
              <c:f>'Pivot Table-1'!$J$3:$J$5</c:f>
              <c:strCache>
                <c:ptCount val="1"/>
                <c:pt idx="0">
                  <c:v>West - Sum of  Revenue </c:v>
                </c:pt>
              </c:strCache>
            </c:strRef>
          </c:tx>
          <c:spPr>
            <a:solidFill>
              <a:schemeClr val="accent3">
                <a:lumMod val="60000"/>
              </a:schemeClr>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Table-1'!$J$6:$J$11</c:f>
              <c:numCache>
                <c:formatCode>General</c:formatCode>
                <c:ptCount val="5"/>
                <c:pt idx="1">
                  <c:v>2060</c:v>
                </c:pt>
                <c:pt idx="4">
                  <c:v>2900</c:v>
                </c:pt>
              </c:numCache>
            </c:numRef>
          </c:val>
          <c:extLst>
            <c:ext xmlns:c16="http://schemas.microsoft.com/office/drawing/2014/chart" uri="{C3380CC4-5D6E-409C-BE32-E72D297353CC}">
              <c16:uniqueId val="{0000000D-FAE3-45E7-A037-C3196279BB7D}"/>
            </c:ext>
          </c:extLst>
        </c:ser>
        <c:ser>
          <c:idx val="9"/>
          <c:order val="9"/>
          <c:tx>
            <c:strRef>
              <c:f>'Pivot Table-1'!$K$3:$K$5</c:f>
              <c:strCache>
                <c:ptCount val="1"/>
                <c:pt idx="0">
                  <c:v>West - Sum of AvgRevenuePerOrder</c:v>
                </c:pt>
              </c:strCache>
            </c:strRef>
          </c:tx>
          <c:spPr>
            <a:solidFill>
              <a:schemeClr val="accent4">
                <a:lumMod val="60000"/>
              </a:schemeClr>
            </a:solidFill>
            <a:ln>
              <a:noFill/>
            </a:ln>
            <a:effectLst/>
          </c:spPr>
          <c:invertIfNegative val="0"/>
          <c:cat>
            <c:strRef>
              <c:f>'Pivot Table-1'!$A$6:$A$11</c:f>
              <c:strCache>
                <c:ptCount val="5"/>
                <c:pt idx="0">
                  <c:v>Chinese</c:v>
                </c:pt>
                <c:pt idx="1">
                  <c:v>Fast Food</c:v>
                </c:pt>
                <c:pt idx="2">
                  <c:v>Indian</c:v>
                </c:pt>
                <c:pt idx="3">
                  <c:v>Italian</c:v>
                </c:pt>
                <c:pt idx="4">
                  <c:v>Mexican</c:v>
                </c:pt>
              </c:strCache>
            </c:strRef>
          </c:cat>
          <c:val>
            <c:numRef>
              <c:f>'Pivot Table-1'!$K$6:$K$11</c:f>
              <c:numCache>
                <c:formatCode>General</c:formatCode>
                <c:ptCount val="5"/>
                <c:pt idx="0">
                  <c:v>#N/A</c:v>
                </c:pt>
                <c:pt idx="1">
                  <c:v>412</c:v>
                </c:pt>
                <c:pt idx="2">
                  <c:v>#N/A</c:v>
                </c:pt>
                <c:pt idx="3">
                  <c:v>#N/A</c:v>
                </c:pt>
                <c:pt idx="4">
                  <c:v>580</c:v>
                </c:pt>
              </c:numCache>
            </c:numRef>
          </c:val>
          <c:extLst>
            <c:ext xmlns:c16="http://schemas.microsoft.com/office/drawing/2014/chart" uri="{C3380CC4-5D6E-409C-BE32-E72D297353CC}">
              <c16:uniqueId val="{0000000E-FAE3-45E7-A037-C3196279BB7D}"/>
            </c:ext>
          </c:extLst>
        </c:ser>
        <c:dLbls>
          <c:showLegendKey val="0"/>
          <c:showVal val="0"/>
          <c:showCatName val="0"/>
          <c:showSerName val="0"/>
          <c:showPercent val="0"/>
          <c:showBubbleSize val="0"/>
        </c:dLbls>
        <c:gapWidth val="182"/>
        <c:axId val="758801007"/>
        <c:axId val="758797679"/>
      </c:barChart>
      <c:catAx>
        <c:axId val="7588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797679"/>
        <c:crosses val="autoZero"/>
        <c:auto val="1"/>
        <c:lblAlgn val="ctr"/>
        <c:lblOffset val="100"/>
        <c:noMultiLvlLbl val="0"/>
      </c:catAx>
      <c:valAx>
        <c:axId val="758797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8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116217</xdr:colOff>
      <xdr:row>11</xdr:row>
      <xdr:rowOff>138023</xdr:rowOff>
    </xdr:from>
    <xdr:to>
      <xdr:col>3</xdr:col>
      <xdr:colOff>986047</xdr:colOff>
      <xdr:row>27</xdr:row>
      <xdr:rowOff>5752</xdr:rowOff>
    </xdr:to>
    <xdr:graphicFrame macro="">
      <xdr:nvGraphicFramePr>
        <xdr:cNvPr id="2" name="Chart 1">
          <a:extLst>
            <a:ext uri="{FF2B5EF4-FFF2-40B4-BE49-F238E27FC236}">
              <a16:creationId xmlns:a16="http://schemas.microsoft.com/office/drawing/2014/main" id="{4FC26D1F-1866-4FF2-B3B5-7AB5DE2EA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1171635</xdr:colOff>
      <xdr:row>12</xdr:row>
      <xdr:rowOff>27916</xdr:rowOff>
    </xdr:from>
    <xdr:to>
      <xdr:col>6</xdr:col>
      <xdr:colOff>17133</xdr:colOff>
      <xdr:row>26</xdr:row>
      <xdr:rowOff>36003</xdr:rowOff>
    </xdr:to>
    <mc:AlternateContent xmlns:mc="http://schemas.openxmlformats.org/markup-compatibility/2006">
      <mc:Choice xmlns:a14="http://schemas.microsoft.com/office/drawing/2010/main" Requires="a14">
        <xdr:graphicFrame macro="">
          <xdr:nvGraphicFramePr>
            <xdr:cNvPr id="3" name=" Cuisine ">
              <a:extLst>
                <a:ext uri="{FF2B5EF4-FFF2-40B4-BE49-F238E27FC236}">
                  <a16:creationId xmlns:a16="http://schemas.microsoft.com/office/drawing/2014/main" id="{489987E1-08C1-46C3-9DED-5FB6C5785BEB}"/>
                </a:ext>
              </a:extLst>
            </xdr:cNvPr>
            <xdr:cNvGraphicFramePr/>
          </xdr:nvGraphicFramePr>
          <xdr:xfrm>
            <a:off x="0" y="0"/>
            <a:ext cx="0" cy="0"/>
          </xdr:xfrm>
          <a:graphic>
            <a:graphicData uri="http://schemas.microsoft.com/office/drawing/2010/slicer">
              <sle:slicer xmlns:sle="http://schemas.microsoft.com/office/drawing/2010/slicer" name=" Cuisine "/>
            </a:graphicData>
          </a:graphic>
        </xdr:graphicFrame>
      </mc:Choice>
      <mc:Fallback>
        <xdr:sp macro="" textlink="">
          <xdr:nvSpPr>
            <xdr:cNvPr id="0" name=""/>
            <xdr:cNvSpPr>
              <a:spLocks noTextEdit="1"/>
            </xdr:cNvSpPr>
          </xdr:nvSpPr>
          <xdr:spPr>
            <a:xfrm>
              <a:off x="6419371" y="218452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336550</xdr:colOff>
      <xdr:row>2</xdr:row>
      <xdr:rowOff>12700</xdr:rowOff>
    </xdr:from>
    <xdr:to>
      <xdr:col>8</xdr:col>
      <xdr:colOff>12700</xdr:colOff>
      <xdr:row>9</xdr:row>
      <xdr:rowOff>95250</xdr:rowOff>
    </xdr:to>
    <mc:AlternateContent xmlns:mc="http://schemas.openxmlformats.org/markup-compatibility/2006">
      <mc:Choice xmlns:tsle="http://schemas.microsoft.com/office/drawing/2012/timeslicer" Requires="tsle">
        <xdr:graphicFrame macro="">
          <xdr:nvGraphicFramePr>
            <xdr:cNvPr id="2" name="OrderDate ">
              <a:extLst>
                <a:ext uri="{FF2B5EF4-FFF2-40B4-BE49-F238E27FC236}">
                  <a16:creationId xmlns:a16="http://schemas.microsoft.com/office/drawing/2014/main" id="{65C372F9-5720-4982-B188-CF917AA40884}"/>
                </a:ext>
              </a:extLst>
            </xdr:cNvPr>
            <xdr:cNvGraphicFramePr/>
          </xdr:nvGraphicFramePr>
          <xdr:xfrm>
            <a:off x="0" y="0"/>
            <a:ext cx="0" cy="0"/>
          </xdr:xfrm>
          <a:graphic>
            <a:graphicData uri="http://schemas.microsoft.com/office/drawing/2012/timeslicer">
              <tsle:timeslicer xmlns:tsle="http://schemas.microsoft.com/office/drawing/2012/timeslicer" name="OrderDate "/>
            </a:graphicData>
          </a:graphic>
        </xdr:graphicFrame>
      </mc:Choice>
      <mc:Fallback>
        <xdr:sp macro="" textlink="">
          <xdr:nvSpPr>
            <xdr:cNvPr id="0" name=""/>
            <xdr:cNvSpPr>
              <a:spLocks noTextEdit="1"/>
            </xdr:cNvSpPr>
          </xdr:nvSpPr>
          <xdr:spPr>
            <a:xfrm>
              <a:off x="2463800" y="3810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596900</xdr:colOff>
      <xdr:row>1</xdr:row>
      <xdr:rowOff>146050</xdr:rowOff>
    </xdr:from>
    <xdr:to>
      <xdr:col>10</xdr:col>
      <xdr:colOff>596900</xdr:colOff>
      <xdr:row>15</xdr:row>
      <xdr:rowOff>92075</xdr:rowOff>
    </xdr:to>
    <mc:AlternateContent xmlns:mc="http://schemas.openxmlformats.org/markup-compatibility/2006">
      <mc:Choice xmlns:a14="http://schemas.microsoft.com/office/drawing/2010/main" Requires="a14">
        <xdr:graphicFrame macro="">
          <xdr:nvGraphicFramePr>
            <xdr:cNvPr id="2" name=" Zone ">
              <a:extLst>
                <a:ext uri="{FF2B5EF4-FFF2-40B4-BE49-F238E27FC236}">
                  <a16:creationId xmlns:a16="http://schemas.microsoft.com/office/drawing/2014/main" id="{65D2C680-A61C-4E27-957E-E114C5D6BBE0}"/>
                </a:ext>
              </a:extLst>
            </xdr:cNvPr>
            <xdr:cNvGraphicFramePr/>
          </xdr:nvGraphicFramePr>
          <xdr:xfrm>
            <a:off x="0" y="0"/>
            <a:ext cx="0" cy="0"/>
          </xdr:xfrm>
          <a:graphic>
            <a:graphicData uri="http://schemas.microsoft.com/office/drawing/2010/slicer">
              <sle:slicer xmlns:sle="http://schemas.microsoft.com/office/drawing/2010/slicer" name=" Zone "/>
            </a:graphicData>
          </a:graphic>
        </xdr:graphicFrame>
      </mc:Choice>
      <mc:Fallback>
        <xdr:sp macro="" textlink="">
          <xdr:nvSpPr>
            <xdr:cNvPr id="0" name=""/>
            <xdr:cNvSpPr>
              <a:spLocks noTextEdit="1"/>
            </xdr:cNvSpPr>
          </xdr:nvSpPr>
          <xdr:spPr>
            <a:xfrm>
              <a:off x="5105400" y="330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6350</xdr:colOff>
      <xdr:row>2</xdr:row>
      <xdr:rowOff>19050</xdr:rowOff>
    </xdr:from>
    <xdr:to>
      <xdr:col>8</xdr:col>
      <xdr:colOff>292100</xdr:colOff>
      <xdr:row>9</xdr:row>
      <xdr:rowOff>88900</xdr:rowOff>
    </xdr:to>
    <mc:AlternateContent xmlns:mc="http://schemas.openxmlformats.org/markup-compatibility/2006">
      <mc:Choice xmlns:tsle="http://schemas.microsoft.com/office/drawing/2012/timeslicer" Requires="tsle">
        <xdr:graphicFrame macro="">
          <xdr:nvGraphicFramePr>
            <xdr:cNvPr id="2" name="OrderDate">
              <a:extLst>
                <a:ext uri="{FF2B5EF4-FFF2-40B4-BE49-F238E27FC236}">
                  <a16:creationId xmlns:a16="http://schemas.microsoft.com/office/drawing/2014/main" id="{622019BE-1408-4F36-9CC8-CFBC0B3D54D1}"/>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2584450" y="387350"/>
              <a:ext cx="3333750" cy="1358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7.963638657406" createdVersion="7" refreshedVersion="7" minRefreshableVersion="3" recordCount="50" xr:uid="{58FE9806-7545-4D8C-AEE0-84AC5D5E3565}">
  <cacheSource type="worksheet">
    <worksheetSource name="tblOrders"/>
  </cacheSource>
  <cacheFields count="9">
    <cacheField name="OrderDate " numFmtId="14">
      <sharedItems containsSemiMixedTypes="0" containsNonDate="0" containsDate="1" containsString="0" minDate="2026-07-01T00:00:00" maxDate="2026-09-16T00:00:00" count="5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sharedItems>
      <fieldGroup par="7" base="0">
        <rangePr groupBy="months" startDate="2026-07-01T00:00:00" endDate="2026-09-16T00:00:00"/>
        <groupItems count="14">
          <s v="&lt;7/1/2026"/>
          <s v="Jan"/>
          <s v="Feb"/>
          <s v="Mar"/>
          <s v="Apr"/>
          <s v="May"/>
          <s v="Jun"/>
          <s v="Jul"/>
          <s v="Aug"/>
          <s v="Sep"/>
          <s v="Oct"/>
          <s v="Nov"/>
          <s v="Dec"/>
          <s v="&gt;9/16/2026"/>
        </groupItems>
      </fieldGroup>
    </cacheField>
    <cacheField name=" Cuisine " numFmtId="0">
      <sharedItems count="5">
        <s v="Indian"/>
        <s v="Chinese"/>
        <s v="Italian"/>
        <s v="Mexican"/>
        <s v="Fast Food"/>
      </sharedItems>
    </cacheField>
    <cacheField name=" Zone " numFmtId="0">
      <sharedItems count="5">
        <s v="North"/>
        <s v="South"/>
        <s v="East"/>
        <s v="West"/>
        <s v="Central"/>
      </sharedItems>
    </cacheField>
    <cacheField name=" Revenue " numFmtId="0">
      <sharedItems containsSemiMixedTypes="0" containsString="0" containsNumber="1" containsInteger="1" minValue="350" maxValue="940"/>
    </cacheField>
    <cacheField name=" DeliveryTime " numFmtId="0">
      <sharedItems containsSemiMixedTypes="0" containsString="0" containsNumber="1" containsInteger="1" minValue="25" maxValue="54"/>
    </cacheField>
    <cacheField name=" Status" numFmtId="0">
      <sharedItems count="2">
        <s v="Delivered"/>
        <s v="Delayed"/>
      </sharedItems>
    </cacheField>
    <cacheField name="Orders" numFmtId="0">
      <sharedItems containsSemiMixedTypes="0" containsString="0" containsNumber="1" containsInteger="1" minValue="1" maxValue="1"/>
    </cacheField>
    <cacheField name="Quarters" numFmtId="0" databaseField="0">
      <fieldGroup base="0">
        <rangePr groupBy="quarters" startDate="2026-07-01T00:00:00" endDate="2026-09-16T00:00:00"/>
        <groupItems count="6">
          <s v="&lt;7/1/2026"/>
          <s v="Qtr1"/>
          <s v="Qtr2"/>
          <s v="Qtr3"/>
          <s v="Qtr4"/>
          <s v="&gt;9/16/2026"/>
        </groupItems>
      </fieldGroup>
    </cacheField>
    <cacheField name="AvgRevenuePerOrder" numFmtId="0" formula="' Revenue '/Orders" databaseField="0"/>
  </cacheFields>
  <extLst>
    <ext xmlns:x14="http://schemas.microsoft.com/office/spreadsheetml/2009/9/main" uri="{725AE2AE-9491-48be-B2B4-4EB974FC3084}">
      <x14:pivotCacheDefinition pivotCacheId="14122769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8.765065856482" createdVersion="7" refreshedVersion="7" minRefreshableVersion="3" recordCount="120" xr:uid="{9FA449C3-1876-472B-ADCB-4A489C47E394}">
  <cacheSource type="worksheet">
    <worksheetSource name="Table5"/>
  </cacheSource>
  <cacheFields count="11">
    <cacheField name="OrderID " numFmtId="0">
      <sharedItems/>
    </cacheField>
    <cacheField name=" RestaurantID " numFmtId="0">
      <sharedItems/>
    </cacheField>
    <cacheField name=" Cuisine " numFmtId="0">
      <sharedItems count="5">
        <s v="Indian"/>
        <s v="Chinese"/>
        <s v="Italian"/>
        <s v="Mexican"/>
        <s v="Fast Food"/>
      </sharedItems>
    </cacheField>
    <cacheField name=" Zone " numFmtId="0">
      <sharedItems count="5">
        <s v="North"/>
        <s v="South"/>
        <s v="East"/>
        <s v="West"/>
        <s v="Central"/>
      </sharedItems>
    </cacheField>
    <cacheField name="OrderDate" numFmtId="14">
      <sharedItems containsSemiMixedTypes="0" containsNonDate="0" containsDate="1" containsString="0" minDate="2026-07-01T00:00:00" maxDate="2026-10-31T00:00:00" count="12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sharedItems>
      <fieldGroup base="4">
        <rangePr groupBy="months" startDate="2026-07-01T00:00:00" endDate="2026-10-31T00:00:00"/>
        <groupItems count="14">
          <s v="&lt;7/1/2026"/>
          <s v="Jan"/>
          <s v="Feb"/>
          <s v="Mar"/>
          <s v="Apr"/>
          <s v="May"/>
          <s v="Jun"/>
          <s v="Jul"/>
          <s v="Aug"/>
          <s v="Sep"/>
          <s v="Oct"/>
          <s v="Nov"/>
          <s v="Dec"/>
          <s v="&gt;10/31/2026"/>
        </groupItems>
      </fieldGroup>
    </cacheField>
    <cacheField name=" DeliveryTime " numFmtId="0">
      <sharedItems containsSemiMixedTypes="0" containsString="0" containsNumber="1" containsInteger="1" minValue="25" maxValue="53"/>
    </cacheField>
    <cacheField name=" Rating " numFmtId="0">
      <sharedItems containsSemiMixedTypes="0" containsString="0" containsNumber="1" containsInteger="1" minValue="3" maxValue="5"/>
    </cacheField>
    <cacheField name=" Revenue " numFmtId="0">
      <sharedItems containsSemiMixedTypes="0" containsString="0" containsNumber="1" containsInteger="1" minValue="390" maxValue="820"/>
    </cacheField>
    <cacheField name=" Status" numFmtId="0">
      <sharedItems/>
    </cacheField>
    <cacheField name="Restaurant Name " numFmtId="0">
      <sharedItems/>
    </cacheField>
    <cacheField name="Categories" numFmtId="0">
      <sharedItems/>
    </cacheField>
  </cacheFields>
  <extLst>
    <ext xmlns:x14="http://schemas.microsoft.com/office/spreadsheetml/2009/9/main" uri="{725AE2AE-9491-48be-B2B4-4EB974FC3084}">
      <x14:pivotCacheDefinition pivotCacheId="41979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620"/>
    <n v="28"/>
    <x v="0"/>
    <n v="1"/>
  </r>
  <r>
    <x v="1"/>
    <x v="1"/>
    <x v="1"/>
    <n v="480"/>
    <n v="42"/>
    <x v="0"/>
    <n v="1"/>
  </r>
  <r>
    <x v="2"/>
    <x v="2"/>
    <x v="2"/>
    <n v="750"/>
    <n v="35"/>
    <x v="0"/>
    <n v="1"/>
  </r>
  <r>
    <x v="3"/>
    <x v="3"/>
    <x v="3"/>
    <n v="540"/>
    <n v="48"/>
    <x v="1"/>
    <n v="1"/>
  </r>
  <r>
    <x v="4"/>
    <x v="4"/>
    <x v="4"/>
    <n v="390"/>
    <n v="25"/>
    <x v="0"/>
    <n v="1"/>
  </r>
  <r>
    <x v="5"/>
    <x v="0"/>
    <x v="1"/>
    <n v="680"/>
    <n v="31"/>
    <x v="0"/>
    <n v="1"/>
  </r>
  <r>
    <x v="6"/>
    <x v="1"/>
    <x v="2"/>
    <n v="520"/>
    <n v="44"/>
    <x v="0"/>
    <n v="1"/>
  </r>
  <r>
    <x v="7"/>
    <x v="2"/>
    <x v="0"/>
    <n v="810"/>
    <n v="29"/>
    <x v="0"/>
    <n v="1"/>
  </r>
  <r>
    <x v="8"/>
    <x v="3"/>
    <x v="4"/>
    <n v="460"/>
    <n v="51"/>
    <x v="1"/>
    <n v="1"/>
  </r>
  <r>
    <x v="9"/>
    <x v="4"/>
    <x v="3"/>
    <n v="420"/>
    <n v="37"/>
    <x v="0"/>
    <n v="1"/>
  </r>
  <r>
    <x v="10"/>
    <x v="0"/>
    <x v="2"/>
    <n v="700"/>
    <n v="33"/>
    <x v="0"/>
    <n v="1"/>
  </r>
  <r>
    <x v="11"/>
    <x v="1"/>
    <x v="0"/>
    <n v="560"/>
    <n v="39"/>
    <x v="0"/>
    <n v="1"/>
  </r>
  <r>
    <x v="12"/>
    <x v="2"/>
    <x v="1"/>
    <n v="920"/>
    <n v="30"/>
    <x v="0"/>
    <n v="1"/>
  </r>
  <r>
    <x v="13"/>
    <x v="3"/>
    <x v="4"/>
    <n v="510"/>
    <n v="46"/>
    <x v="1"/>
    <n v="1"/>
  </r>
  <r>
    <x v="14"/>
    <x v="4"/>
    <x v="3"/>
    <n v="350"/>
    <n v="27"/>
    <x v="0"/>
    <n v="1"/>
  </r>
  <r>
    <x v="15"/>
    <x v="0"/>
    <x v="0"/>
    <n v="640"/>
    <n v="32"/>
    <x v="0"/>
    <n v="1"/>
  </r>
  <r>
    <x v="16"/>
    <x v="1"/>
    <x v="1"/>
    <n v="590"/>
    <n v="41"/>
    <x v="0"/>
    <n v="1"/>
  </r>
  <r>
    <x v="17"/>
    <x v="2"/>
    <x v="2"/>
    <n v="780"/>
    <n v="34"/>
    <x v="0"/>
    <n v="1"/>
  </r>
  <r>
    <x v="18"/>
    <x v="3"/>
    <x v="3"/>
    <n v="600"/>
    <n v="53"/>
    <x v="1"/>
    <n v="1"/>
  </r>
  <r>
    <x v="19"/>
    <x v="4"/>
    <x v="4"/>
    <n v="440"/>
    <n v="29"/>
    <x v="0"/>
    <n v="1"/>
  </r>
  <r>
    <x v="20"/>
    <x v="0"/>
    <x v="1"/>
    <n v="710"/>
    <n v="36"/>
    <x v="0"/>
    <n v="1"/>
  </r>
  <r>
    <x v="21"/>
    <x v="1"/>
    <x v="2"/>
    <n v="530"/>
    <n v="43"/>
    <x v="0"/>
    <n v="1"/>
  </r>
  <r>
    <x v="22"/>
    <x v="2"/>
    <x v="0"/>
    <n v="850"/>
    <n v="31"/>
    <x v="0"/>
    <n v="1"/>
  </r>
  <r>
    <x v="23"/>
    <x v="3"/>
    <x v="3"/>
    <n v="570"/>
    <n v="49"/>
    <x v="1"/>
    <n v="1"/>
  </r>
  <r>
    <x v="24"/>
    <x v="4"/>
    <x v="4"/>
    <n v="400"/>
    <n v="26"/>
    <x v="0"/>
    <n v="1"/>
  </r>
  <r>
    <x v="25"/>
    <x v="0"/>
    <x v="2"/>
    <n v="690"/>
    <n v="38"/>
    <x v="0"/>
    <n v="1"/>
  </r>
  <r>
    <x v="26"/>
    <x v="1"/>
    <x v="0"/>
    <n v="610"/>
    <n v="40"/>
    <x v="0"/>
    <n v="1"/>
  </r>
  <r>
    <x v="27"/>
    <x v="2"/>
    <x v="1"/>
    <n v="880"/>
    <n v="33"/>
    <x v="0"/>
    <n v="1"/>
  </r>
  <r>
    <x v="28"/>
    <x v="3"/>
    <x v="4"/>
    <n v="495"/>
    <n v="47"/>
    <x v="1"/>
    <n v="1"/>
  </r>
  <r>
    <x v="29"/>
    <x v="4"/>
    <x v="3"/>
    <n v="430"/>
    <n v="30"/>
    <x v="0"/>
    <n v="1"/>
  </r>
  <r>
    <x v="30"/>
    <x v="0"/>
    <x v="0"/>
    <n v="730"/>
    <n v="27"/>
    <x v="0"/>
    <n v="1"/>
  </r>
  <r>
    <x v="31"/>
    <x v="1"/>
    <x v="1"/>
    <n v="550"/>
    <n v="45"/>
    <x v="0"/>
    <n v="1"/>
  </r>
  <r>
    <x v="32"/>
    <x v="2"/>
    <x v="2"/>
    <n v="810"/>
    <n v="36"/>
    <x v="0"/>
    <n v="1"/>
  </r>
  <r>
    <x v="33"/>
    <x v="3"/>
    <x v="3"/>
    <n v="580"/>
    <n v="52"/>
    <x v="1"/>
    <n v="1"/>
  </r>
  <r>
    <x v="34"/>
    <x v="4"/>
    <x v="4"/>
    <n v="370"/>
    <n v="28"/>
    <x v="0"/>
    <n v="1"/>
  </r>
  <r>
    <x v="35"/>
    <x v="0"/>
    <x v="2"/>
    <n v="670"/>
    <n v="34"/>
    <x v="0"/>
    <n v="1"/>
  </r>
  <r>
    <x v="36"/>
    <x v="1"/>
    <x v="0"/>
    <n v="500"/>
    <n v="42"/>
    <x v="0"/>
    <n v="1"/>
  </r>
  <r>
    <x v="37"/>
    <x v="2"/>
    <x v="1"/>
    <n v="940"/>
    <n v="29"/>
    <x v="0"/>
    <n v="1"/>
  </r>
  <r>
    <x v="38"/>
    <x v="3"/>
    <x v="4"/>
    <n v="520"/>
    <n v="50"/>
    <x v="1"/>
    <n v="1"/>
  </r>
  <r>
    <x v="39"/>
    <x v="4"/>
    <x v="3"/>
    <n v="410"/>
    <n v="31"/>
    <x v="0"/>
    <n v="1"/>
  </r>
  <r>
    <x v="40"/>
    <x v="0"/>
    <x v="0"/>
    <n v="760"/>
    <n v="30"/>
    <x v="0"/>
    <n v="1"/>
  </r>
  <r>
    <x v="41"/>
    <x v="1"/>
    <x v="1"/>
    <n v="570"/>
    <n v="39"/>
    <x v="0"/>
    <n v="1"/>
  </r>
  <r>
    <x v="42"/>
    <x v="2"/>
    <x v="2"/>
    <n v="830"/>
    <n v="35"/>
    <x v="0"/>
    <n v="1"/>
  </r>
  <r>
    <x v="43"/>
    <x v="3"/>
    <x v="3"/>
    <n v="610"/>
    <n v="54"/>
    <x v="1"/>
    <n v="1"/>
  </r>
  <r>
    <x v="44"/>
    <x v="4"/>
    <x v="4"/>
    <n v="380"/>
    <n v="27"/>
    <x v="0"/>
    <n v="1"/>
  </r>
  <r>
    <x v="45"/>
    <x v="0"/>
    <x v="1"/>
    <n v="700"/>
    <n v="32"/>
    <x v="0"/>
    <n v="1"/>
  </r>
  <r>
    <x v="46"/>
    <x v="1"/>
    <x v="2"/>
    <n v="540"/>
    <n v="44"/>
    <x v="0"/>
    <n v="1"/>
  </r>
  <r>
    <x v="47"/>
    <x v="2"/>
    <x v="0"/>
    <n v="900"/>
    <n v="31"/>
    <x v="0"/>
    <n v="1"/>
  </r>
  <r>
    <x v="48"/>
    <x v="3"/>
    <x v="4"/>
    <n v="560"/>
    <n v="48"/>
    <x v="1"/>
    <n v="1"/>
  </r>
  <r>
    <x v="49"/>
    <x v="4"/>
    <x v="3"/>
    <n v="450"/>
    <n v="29"/>
    <x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3001"/>
    <s v="R001"/>
    <x v="0"/>
    <x v="0"/>
    <x v="0"/>
    <n v="32"/>
    <n v="4"/>
    <n v="620"/>
    <s v="Delivered"/>
    <s v="Spice Hub"/>
    <s v="Cloud Kitchen"/>
  </r>
  <r>
    <s v="O3002"/>
    <s v="R002"/>
    <x v="1"/>
    <x v="1"/>
    <x v="1"/>
    <n v="41"/>
    <n v="4"/>
    <n v="480"/>
    <s v="Delivered"/>
    <s v="Dragon Bowl"/>
    <s v="QSR"/>
  </r>
  <r>
    <s v="O3003"/>
    <s v="R003"/>
    <x v="2"/>
    <x v="2"/>
    <x v="2"/>
    <n v="28"/>
    <n v="5"/>
    <n v="750"/>
    <s v="Delivered"/>
    <s v="Pasta Point"/>
    <s v="Dine-in"/>
  </r>
  <r>
    <s v="O3004"/>
    <s v="R004"/>
    <x v="3"/>
    <x v="3"/>
    <x v="3"/>
    <n v="52"/>
    <n v="3"/>
    <n v="390"/>
    <s v="Delayed"/>
    <s v="Taco Town"/>
    <s v="QSR"/>
  </r>
  <r>
    <s v="O3005"/>
    <s v="R005"/>
    <x v="4"/>
    <x v="4"/>
    <x v="4"/>
    <n v="35"/>
    <n v="4"/>
    <n v="540"/>
    <s v="Delivered"/>
    <s v="Curry House"/>
    <s v="Dine-in"/>
  </r>
  <r>
    <s v="O3006"/>
    <s v="R006"/>
    <x v="0"/>
    <x v="0"/>
    <x v="5"/>
    <n v="29"/>
    <n v="5"/>
    <n v="680"/>
    <s v="Delivered"/>
    <s v="Desi Zaika"/>
    <s v="QSR"/>
  </r>
  <r>
    <s v="O3007"/>
    <s v="R007"/>
    <x v="1"/>
    <x v="1"/>
    <x v="6"/>
    <n v="46"/>
    <n v="3"/>
    <n v="430"/>
    <s v="Delayed"/>
    <s v="China Garden"/>
    <s v="Dine-in"/>
  </r>
  <r>
    <s v="O3008"/>
    <s v="R008"/>
    <x v="2"/>
    <x v="2"/>
    <x v="7"/>
    <n v="31"/>
    <n v="4"/>
    <n v="720"/>
    <s v="Delivered"/>
    <s v="Italiano"/>
    <s v="Cloud Kitchen"/>
  </r>
  <r>
    <s v="O3009"/>
    <s v="R009"/>
    <x v="3"/>
    <x v="3"/>
    <x v="8"/>
    <n v="38"/>
    <n v="4"/>
    <n v="460"/>
    <s v="Delivered"/>
    <s v="Mexican Grill"/>
    <s v="Dine-in"/>
  </r>
  <r>
    <s v="O3010"/>
    <s v="R010"/>
    <x v="4"/>
    <x v="4"/>
    <x v="9"/>
    <n v="44"/>
    <n v="3"/>
    <n v="510"/>
    <s v="Delayed"/>
    <s v="Food Factory"/>
    <s v="QSR"/>
  </r>
  <r>
    <s v="O3011"/>
    <s v="R011"/>
    <x v="0"/>
    <x v="0"/>
    <x v="10"/>
    <n v="27"/>
    <n v="5"/>
    <n v="810"/>
    <s v="Delivered"/>
    <s v="Punjabi Tadka"/>
    <s v="Dine-in"/>
  </r>
  <r>
    <s v="O3012"/>
    <s v="R012"/>
    <x v="1"/>
    <x v="1"/>
    <x v="11"/>
    <n v="39"/>
    <n v="4"/>
    <n v="495"/>
    <s v="Delivered"/>
    <s v="Wok Express"/>
    <s v="Cloud Kitchen"/>
  </r>
  <r>
    <s v="O3013"/>
    <s v="R013"/>
    <x v="2"/>
    <x v="2"/>
    <x v="12"/>
    <n v="34"/>
    <n v="5"/>
    <n v="690"/>
    <s v="Delivered"/>
    <s v="Pizza Corner"/>
    <s v="QSR"/>
  </r>
  <r>
    <s v="O3014"/>
    <s v="R014"/>
    <x v="3"/>
    <x v="3"/>
    <x v="13"/>
    <n v="48"/>
    <n v="3"/>
    <n v="420"/>
    <s v="Delayed"/>
    <s v="Burrito House"/>
    <s v="Cloud Kitchen"/>
  </r>
  <r>
    <s v="O3015"/>
    <s v="R015"/>
    <x v="4"/>
    <x v="4"/>
    <x v="14"/>
    <n v="30"/>
    <n v="4"/>
    <n v="575"/>
    <s v="Delivered"/>
    <s v="Ahmedabad Bites"/>
    <s v="Dine-in"/>
  </r>
  <r>
    <s v="O3016"/>
    <s v="R001"/>
    <x v="0"/>
    <x v="0"/>
    <x v="15"/>
    <n v="36"/>
    <n v="4"/>
    <n v="640"/>
    <s v="Delivered"/>
    <s v="Spice Hub"/>
    <s v="Cloud Kitchen"/>
  </r>
  <r>
    <s v="O3017"/>
    <s v="R002"/>
    <x v="1"/>
    <x v="1"/>
    <x v="16"/>
    <n v="43"/>
    <n v="3"/>
    <n v="455"/>
    <s v="Delayed"/>
    <s v="Dragon Bowl"/>
    <s v="QSR"/>
  </r>
  <r>
    <s v="O3018"/>
    <s v="R003"/>
    <x v="2"/>
    <x v="2"/>
    <x v="17"/>
    <n v="26"/>
    <n v="5"/>
    <n v="790"/>
    <s v="Delivered"/>
    <s v="Pasta Point"/>
    <s v="Dine-in"/>
  </r>
  <r>
    <s v="O3019"/>
    <s v="R004"/>
    <x v="3"/>
    <x v="3"/>
    <x v="18"/>
    <n v="40"/>
    <n v="4"/>
    <n v="410"/>
    <s v="Delivered"/>
    <s v="Taco Town"/>
    <s v="QSR"/>
  </r>
  <r>
    <s v="O3020"/>
    <s v="R005"/>
    <x v="4"/>
    <x v="4"/>
    <x v="19"/>
    <n v="37"/>
    <n v="4"/>
    <n v="530"/>
    <s v="Delivered"/>
    <s v="Curry House"/>
    <s v="Dine-in"/>
  </r>
  <r>
    <s v="O3021"/>
    <s v="R006"/>
    <x v="0"/>
    <x v="0"/>
    <x v="20"/>
    <n v="33"/>
    <n v="4"/>
    <n v="610"/>
    <s v="Delivered"/>
    <s v="Desi Zaika"/>
    <s v="QSR"/>
  </r>
  <r>
    <s v="O3022"/>
    <s v="R007"/>
    <x v="1"/>
    <x v="1"/>
    <x v="21"/>
    <n v="50"/>
    <n v="3"/>
    <n v="445"/>
    <s v="Delayed"/>
    <s v="China Garden"/>
    <s v="Dine-in"/>
  </r>
  <r>
    <s v="O3023"/>
    <s v="R008"/>
    <x v="2"/>
    <x v="2"/>
    <x v="22"/>
    <n v="29"/>
    <n v="5"/>
    <n v="735"/>
    <s v="Delivered"/>
    <s v="Italiano"/>
    <s v="Cloud Kitchen"/>
  </r>
  <r>
    <s v="O3024"/>
    <s v="R009"/>
    <x v="3"/>
    <x v="3"/>
    <x v="23"/>
    <n v="42"/>
    <n v="4"/>
    <n v="475"/>
    <s v="Delayed"/>
    <s v="Mexican Grill"/>
    <s v="Dine-in"/>
  </r>
  <r>
    <s v="O3025"/>
    <s v="R010"/>
    <x v="4"/>
    <x v="4"/>
    <x v="24"/>
    <n v="34"/>
    <n v="4"/>
    <n v="560"/>
    <s v="Delivered"/>
    <s v="Food Factory"/>
    <s v="QSR"/>
  </r>
  <r>
    <s v="O3026"/>
    <s v="R011"/>
    <x v="0"/>
    <x v="0"/>
    <x v="25"/>
    <n v="31"/>
    <n v="5"/>
    <n v="700"/>
    <s v="Delivered"/>
    <s v="Punjabi Tadka"/>
    <s v="Dine-in"/>
  </r>
  <r>
    <s v="O3027"/>
    <s v="R012"/>
    <x v="1"/>
    <x v="1"/>
    <x v="26"/>
    <n v="45"/>
    <n v="3"/>
    <n v="425"/>
    <s v="Delayed"/>
    <s v="Wok Express"/>
    <s v="Cloud Kitchen"/>
  </r>
  <r>
    <s v="O3028"/>
    <s v="R013"/>
    <x v="2"/>
    <x v="2"/>
    <x v="27"/>
    <n v="30"/>
    <n v="5"/>
    <n v="760"/>
    <s v="Delivered"/>
    <s v="Pizza Corner"/>
    <s v="QSR"/>
  </r>
  <r>
    <s v="O3029"/>
    <s v="R014"/>
    <x v="3"/>
    <x v="3"/>
    <x v="28"/>
    <n v="39"/>
    <n v="4"/>
    <n v="440"/>
    <s v="Delivered"/>
    <s v="Burrito House"/>
    <s v="Cloud Kitchen"/>
  </r>
  <r>
    <s v="O3030"/>
    <s v="R015"/>
    <x v="4"/>
    <x v="4"/>
    <x v="29"/>
    <n v="47"/>
    <n v="3"/>
    <n v="500"/>
    <s v="Delayed"/>
    <s v="Ahmedabad Bites"/>
    <s v="Dine-in"/>
  </r>
  <r>
    <s v="O3031"/>
    <s v="R001"/>
    <x v="0"/>
    <x v="0"/>
    <x v="30"/>
    <n v="28"/>
    <n v="5"/>
    <n v="650"/>
    <s v="Delivered"/>
    <s v="Spice Hub"/>
    <s v="Cloud Kitchen"/>
  </r>
  <r>
    <s v="O3032"/>
    <s v="R002"/>
    <x v="1"/>
    <x v="1"/>
    <x v="31"/>
    <n v="37"/>
    <n v="4"/>
    <n v="490"/>
    <s v="Delivered"/>
    <s v="Dragon Bowl"/>
    <s v="QSR"/>
  </r>
  <r>
    <s v="O3033"/>
    <s v="R003"/>
    <x v="2"/>
    <x v="2"/>
    <x v="32"/>
    <n v="33"/>
    <n v="5"/>
    <n v="780"/>
    <s v="Delivered"/>
    <s v="Pasta Point"/>
    <s v="Dine-in"/>
  </r>
  <r>
    <s v="O3034"/>
    <s v="R004"/>
    <x v="3"/>
    <x v="3"/>
    <x v="33"/>
    <n v="51"/>
    <n v="3"/>
    <n v="400"/>
    <s v="Delayed"/>
    <s v="Taco Town"/>
    <s v="QSR"/>
  </r>
  <r>
    <s v="O3035"/>
    <s v="R005"/>
    <x v="4"/>
    <x v="4"/>
    <x v="34"/>
    <n v="36"/>
    <n v="4"/>
    <n v="550"/>
    <s v="Delivered"/>
    <s v="Curry House"/>
    <s v="Dine-in"/>
  </r>
  <r>
    <s v="O3036"/>
    <s v="R006"/>
    <x v="0"/>
    <x v="0"/>
    <x v="35"/>
    <n v="30"/>
    <n v="5"/>
    <n v="675"/>
    <s v="Delivered"/>
    <s v="Desi Zaika"/>
    <s v="QSR"/>
  </r>
  <r>
    <s v="O3037"/>
    <s v="R007"/>
    <x v="1"/>
    <x v="1"/>
    <x v="36"/>
    <n v="44"/>
    <n v="3"/>
    <n v="460"/>
    <s v="Delayed"/>
    <s v="China Garden"/>
    <s v="Dine-in"/>
  </r>
  <r>
    <s v="O3038"/>
    <s v="R008"/>
    <x v="2"/>
    <x v="2"/>
    <x v="37"/>
    <n v="27"/>
    <n v="5"/>
    <n v="710"/>
    <s v="Delivered"/>
    <s v="Italiano"/>
    <s v="Cloud Kitchen"/>
  </r>
  <r>
    <s v="O3039"/>
    <s v="R009"/>
    <x v="3"/>
    <x v="3"/>
    <x v="38"/>
    <n v="41"/>
    <n v="4"/>
    <n v="455"/>
    <s v="Delayed"/>
    <s v="Mexican Grill"/>
    <s v="Dine-in"/>
  </r>
  <r>
    <s v="O3040"/>
    <s v="R010"/>
    <x v="4"/>
    <x v="4"/>
    <x v="39"/>
    <n v="32"/>
    <n v="4"/>
    <n v="520"/>
    <s v="Delivered"/>
    <s v="Food Factory"/>
    <s v="QSR"/>
  </r>
  <r>
    <s v="O3041"/>
    <s v="R011"/>
    <x v="0"/>
    <x v="0"/>
    <x v="40"/>
    <n v="35"/>
    <n v="4"/>
    <n v="625"/>
    <s v="Delivered"/>
    <s v="Punjabi Tadka"/>
    <s v="Dine-in"/>
  </r>
  <r>
    <s v="O3042"/>
    <s v="R012"/>
    <x v="1"/>
    <x v="1"/>
    <x v="41"/>
    <n v="40"/>
    <n v="4"/>
    <n v="485"/>
    <s v="Delivered"/>
    <s v="Wok Express"/>
    <s v="Cloud Kitchen"/>
  </r>
  <r>
    <s v="O3043"/>
    <s v="R013"/>
    <x v="2"/>
    <x v="2"/>
    <x v="42"/>
    <n v="29"/>
    <n v="5"/>
    <n v="800"/>
    <s v="Delivered"/>
    <s v="Pizza Corner"/>
    <s v="QSR"/>
  </r>
  <r>
    <s v="O3044"/>
    <s v="R014"/>
    <x v="3"/>
    <x v="3"/>
    <x v="43"/>
    <n v="49"/>
    <n v="3"/>
    <n v="415"/>
    <s v="Delayed"/>
    <s v="Burrito House"/>
    <s v="Cloud Kitchen"/>
  </r>
  <r>
    <s v="O3045"/>
    <s v="R015"/>
    <x v="4"/>
    <x v="4"/>
    <x v="44"/>
    <n v="38"/>
    <n v="4"/>
    <n v="565"/>
    <s v="Delivered"/>
    <s v="Ahmedabad Bites"/>
    <s v="Dine-in"/>
  </r>
  <r>
    <s v="O3046"/>
    <s v="R001"/>
    <x v="0"/>
    <x v="0"/>
    <x v="45"/>
    <n v="34"/>
    <n v="5"/>
    <n v="690"/>
    <s v="Delivered"/>
    <s v="Spice Hub"/>
    <s v="Cloud Kitchen"/>
  </r>
  <r>
    <s v="O3047"/>
    <s v="R002"/>
    <x v="1"/>
    <x v="1"/>
    <x v="46"/>
    <n v="46"/>
    <n v="3"/>
    <n v="440"/>
    <s v="Delayed"/>
    <s v="Dragon Bowl"/>
    <s v="QSR"/>
  </r>
  <r>
    <s v="O3048"/>
    <s v="R003"/>
    <x v="2"/>
    <x v="2"/>
    <x v="47"/>
    <n v="31"/>
    <n v="5"/>
    <n v="745"/>
    <s v="Delivered"/>
    <s v="Pasta Point"/>
    <s v="Dine-in"/>
  </r>
  <r>
    <s v="O3049"/>
    <s v="R004"/>
    <x v="3"/>
    <x v="3"/>
    <x v="48"/>
    <n v="43"/>
    <n v="4"/>
    <n v="425"/>
    <s v="Delayed"/>
    <s v="Taco Town"/>
    <s v="QSR"/>
  </r>
  <r>
    <s v="O3050"/>
    <s v="R005"/>
    <x v="4"/>
    <x v="4"/>
    <x v="49"/>
    <n v="33"/>
    <n v="4"/>
    <n v="535"/>
    <s v="Delivered"/>
    <s v="Curry House"/>
    <s v="Dine-in"/>
  </r>
  <r>
    <s v="O3051"/>
    <s v="R006"/>
    <x v="0"/>
    <x v="0"/>
    <x v="50"/>
    <n v="29"/>
    <n v="5"/>
    <n v="720"/>
    <s v="Delivered"/>
    <s v="Desi Zaika"/>
    <s v="QSR"/>
  </r>
  <r>
    <s v="O3052"/>
    <s v="R007"/>
    <x v="1"/>
    <x v="1"/>
    <x v="51"/>
    <n v="42"/>
    <n v="4"/>
    <n v="470"/>
    <s v="Delayed"/>
    <s v="China Garden"/>
    <s v="Dine-in"/>
  </r>
  <r>
    <s v="O3053"/>
    <s v="R008"/>
    <x v="2"/>
    <x v="2"/>
    <x v="52"/>
    <n v="25"/>
    <n v="5"/>
    <n v="815"/>
    <s v="Delivered"/>
    <s v="Italiano"/>
    <s v="Cloud Kitchen"/>
  </r>
  <r>
    <s v="O3054"/>
    <s v="R009"/>
    <x v="3"/>
    <x v="3"/>
    <x v="53"/>
    <n v="39"/>
    <n v="4"/>
    <n v="450"/>
    <s v="Delivered"/>
    <s v="Mexican Grill"/>
    <s v="Dine-in"/>
  </r>
  <r>
    <s v="O3055"/>
    <s v="R010"/>
    <x v="4"/>
    <x v="4"/>
    <x v="54"/>
    <n v="45"/>
    <n v="3"/>
    <n v="515"/>
    <s v="Delayed"/>
    <s v="Food Factory"/>
    <s v="QSR"/>
  </r>
  <r>
    <s v="O3056"/>
    <s v="R011"/>
    <x v="0"/>
    <x v="0"/>
    <x v="55"/>
    <n v="32"/>
    <n v="4"/>
    <n v="635"/>
    <s v="Delivered"/>
    <s v="Punjabi Tadka"/>
    <s v="Dine-in"/>
  </r>
  <r>
    <s v="O3057"/>
    <s v="R012"/>
    <x v="1"/>
    <x v="1"/>
    <x v="56"/>
    <n v="48"/>
    <n v="3"/>
    <n v="435"/>
    <s v="Delayed"/>
    <s v="Wok Express"/>
    <s v="Cloud Kitchen"/>
  </r>
  <r>
    <s v="O3058"/>
    <s v="R013"/>
    <x v="2"/>
    <x v="2"/>
    <x v="57"/>
    <n v="30"/>
    <n v="5"/>
    <n v="770"/>
    <s v="Delivered"/>
    <s v="Pizza Corner"/>
    <s v="QSR"/>
  </r>
  <r>
    <s v="O3059"/>
    <s v="R014"/>
    <x v="3"/>
    <x v="3"/>
    <x v="58"/>
    <n v="37"/>
    <n v="4"/>
    <n v="465"/>
    <s v="Delivered"/>
    <s v="Burrito House"/>
    <s v="Cloud Kitchen"/>
  </r>
  <r>
    <s v="O3060"/>
    <s v="R015"/>
    <x v="4"/>
    <x v="4"/>
    <x v="59"/>
    <n v="41"/>
    <n v="4"/>
    <n v="545"/>
    <s v="Delayed"/>
    <s v="Ahmedabad Bites"/>
    <s v="Dine-in"/>
  </r>
  <r>
    <s v="O3061"/>
    <s v="R001"/>
    <x v="0"/>
    <x v="0"/>
    <x v="60"/>
    <n v="31"/>
    <n v="5"/>
    <n v="660"/>
    <s v="Delivered"/>
    <s v="Spice Hub"/>
    <s v="Cloud Kitchen"/>
  </r>
  <r>
    <s v="O3062"/>
    <s v="R002"/>
    <x v="1"/>
    <x v="1"/>
    <x v="61"/>
    <n v="40"/>
    <n v="4"/>
    <n v="500"/>
    <s v="Delivered"/>
    <s v="Dragon Bowl"/>
    <s v="QSR"/>
  </r>
  <r>
    <s v="O3063"/>
    <s v="R003"/>
    <x v="2"/>
    <x v="2"/>
    <x v="62"/>
    <n v="28"/>
    <n v="5"/>
    <n v="785"/>
    <s v="Delivered"/>
    <s v="Pasta Point"/>
    <s v="Dine-in"/>
  </r>
  <r>
    <s v="O3064"/>
    <s v="R004"/>
    <x v="3"/>
    <x v="3"/>
    <x v="63"/>
    <n v="53"/>
    <n v="3"/>
    <n v="395"/>
    <s v="Delayed"/>
    <s v="Taco Town"/>
    <s v="QSR"/>
  </r>
  <r>
    <s v="O3065"/>
    <s v="R005"/>
    <x v="4"/>
    <x v="4"/>
    <x v="64"/>
    <n v="34"/>
    <n v="4"/>
    <n v="570"/>
    <s v="Delivered"/>
    <s v="Curry House"/>
    <s v="Dine-in"/>
  </r>
  <r>
    <s v="O3066"/>
    <s v="R006"/>
    <x v="0"/>
    <x v="0"/>
    <x v="65"/>
    <n v="27"/>
    <n v="5"/>
    <n v="705"/>
    <s v="Delivered"/>
    <s v="Desi Zaika"/>
    <s v="QSR"/>
  </r>
  <r>
    <s v="O3067"/>
    <s v="R007"/>
    <x v="1"/>
    <x v="1"/>
    <x v="66"/>
    <n v="47"/>
    <n v="3"/>
    <n v="450"/>
    <s v="Delayed"/>
    <s v="China Garden"/>
    <s v="Dine-in"/>
  </r>
  <r>
    <s v="O3068"/>
    <s v="R008"/>
    <x v="2"/>
    <x v="2"/>
    <x v="67"/>
    <n v="32"/>
    <n v="5"/>
    <n v="730"/>
    <s v="Delivered"/>
    <s v="Italiano"/>
    <s v="Cloud Kitchen"/>
  </r>
  <r>
    <s v="O3069"/>
    <s v="R009"/>
    <x v="3"/>
    <x v="3"/>
    <x v="68"/>
    <n v="40"/>
    <n v="4"/>
    <n v="470"/>
    <s v="Delivered"/>
    <s v="Mexican Grill"/>
    <s v="Dine-in"/>
  </r>
  <r>
    <s v="O3070"/>
    <s v="R010"/>
    <x v="4"/>
    <x v="4"/>
    <x v="69"/>
    <n v="46"/>
    <n v="3"/>
    <n v="505"/>
    <s v="Delayed"/>
    <s v="Food Factory"/>
    <s v="QSR"/>
  </r>
  <r>
    <s v="O3071"/>
    <s v="R011"/>
    <x v="0"/>
    <x v="0"/>
    <x v="70"/>
    <n v="30"/>
    <n v="5"/>
    <n v="695"/>
    <s v="Delivered"/>
    <s v="Punjabi Tadka"/>
    <s v="Dine-in"/>
  </r>
  <r>
    <s v="O3072"/>
    <s v="R012"/>
    <x v="1"/>
    <x v="1"/>
    <x v="71"/>
    <n v="38"/>
    <n v="4"/>
    <n v="480"/>
    <s v="Delivered"/>
    <s v="Wok Express"/>
    <s v="Cloud Kitchen"/>
  </r>
  <r>
    <s v="O3073"/>
    <s v="R013"/>
    <x v="2"/>
    <x v="2"/>
    <x v="72"/>
    <n v="29"/>
    <n v="5"/>
    <n v="755"/>
    <s v="Delivered"/>
    <s v="Pizza Corner"/>
    <s v="QSR"/>
  </r>
  <r>
    <s v="O3074"/>
    <s v="R014"/>
    <x v="3"/>
    <x v="3"/>
    <x v="73"/>
    <n v="50"/>
    <n v="3"/>
    <n v="405"/>
    <s v="Delayed"/>
    <s v="Burrito House"/>
    <s v="Cloud Kitchen"/>
  </r>
  <r>
    <s v="O3075"/>
    <s v="R015"/>
    <x v="4"/>
    <x v="4"/>
    <x v="74"/>
    <n v="36"/>
    <n v="4"/>
    <n v="555"/>
    <s v="Delivered"/>
    <s v="Ahmedabad Bites"/>
    <s v="Dine-in"/>
  </r>
  <r>
    <s v="O3076"/>
    <s v="R001"/>
    <x v="0"/>
    <x v="0"/>
    <x v="75"/>
    <n v="33"/>
    <n v="4"/>
    <n v="645"/>
    <s v="Delivered"/>
    <s v="Spice Hub"/>
    <s v="Cloud Kitchen"/>
  </r>
  <r>
    <s v="O3077"/>
    <s v="R002"/>
    <x v="1"/>
    <x v="1"/>
    <x v="76"/>
    <n v="44"/>
    <n v="3"/>
    <n v="460"/>
    <s v="Delayed"/>
    <s v="Dragon Bowl"/>
    <s v="QSR"/>
  </r>
  <r>
    <s v="O3078"/>
    <s v="R003"/>
    <x v="2"/>
    <x v="2"/>
    <x v="77"/>
    <n v="26"/>
    <n v="5"/>
    <n v="795"/>
    <s v="Delivered"/>
    <s v="Pasta Point"/>
    <s v="Dine-in"/>
  </r>
  <r>
    <s v="O3079"/>
    <s v="R004"/>
    <x v="3"/>
    <x v="3"/>
    <x v="78"/>
    <n v="42"/>
    <n v="4"/>
    <n v="435"/>
    <s v="Delayed"/>
    <s v="Taco Town"/>
    <s v="QSR"/>
  </r>
  <r>
    <s v="O3080"/>
    <s v="R005"/>
    <x v="4"/>
    <x v="4"/>
    <x v="79"/>
    <n v="35"/>
    <n v="4"/>
    <n v="525"/>
    <s v="Delivered"/>
    <s v="Curry House"/>
    <s v="Dine-in"/>
  </r>
  <r>
    <s v="O3081"/>
    <s v="R006"/>
    <x v="0"/>
    <x v="0"/>
    <x v="80"/>
    <n v="28"/>
    <n v="5"/>
    <n v="710"/>
    <s v="Delivered"/>
    <s v="Desi Zaika"/>
    <s v="QSR"/>
  </r>
  <r>
    <s v="O3082"/>
    <s v="R007"/>
    <x v="1"/>
    <x v="1"/>
    <x v="81"/>
    <n v="41"/>
    <n v="4"/>
    <n v="475"/>
    <s v="Delivered"/>
    <s v="China Garden"/>
    <s v="Dine-in"/>
  </r>
  <r>
    <s v="O3083"/>
    <s v="R008"/>
    <x v="2"/>
    <x v="2"/>
    <x v="82"/>
    <n v="30"/>
    <n v="5"/>
    <n v="765"/>
    <s v="Delivered"/>
    <s v="Italiano"/>
    <s v="Cloud Kitchen"/>
  </r>
  <r>
    <s v="O3084"/>
    <s v="R009"/>
    <x v="3"/>
    <x v="3"/>
    <x v="83"/>
    <n v="38"/>
    <n v="4"/>
    <n v="455"/>
    <s v="Delivered"/>
    <s v="Mexican Grill"/>
    <s v="Dine-in"/>
  </r>
  <r>
    <s v="O3085"/>
    <s v="R010"/>
    <x v="4"/>
    <x v="4"/>
    <x v="84"/>
    <n v="43"/>
    <n v="3"/>
    <n v="535"/>
    <s v="Delayed"/>
    <s v="Food Factory"/>
    <s v="QSR"/>
  </r>
  <r>
    <s v="O3086"/>
    <s v="R011"/>
    <x v="0"/>
    <x v="0"/>
    <x v="85"/>
    <n v="32"/>
    <n v="5"/>
    <n v="680"/>
    <s v="Delivered"/>
    <s v="Punjabi Tadka"/>
    <s v="Dine-in"/>
  </r>
  <r>
    <s v="O3087"/>
    <s v="R012"/>
    <x v="1"/>
    <x v="1"/>
    <x v="86"/>
    <n v="49"/>
    <n v="3"/>
    <n v="420"/>
    <s v="Delayed"/>
    <s v="Wok Express"/>
    <s v="Cloud Kitchen"/>
  </r>
  <r>
    <s v="O3088"/>
    <s v="R013"/>
    <x v="2"/>
    <x v="2"/>
    <x v="87"/>
    <n v="27"/>
    <n v="5"/>
    <n v="810"/>
    <s v="Delivered"/>
    <s v="Pizza Corner"/>
    <s v="QSR"/>
  </r>
  <r>
    <s v="O3089"/>
    <s v="R014"/>
    <x v="3"/>
    <x v="3"/>
    <x v="88"/>
    <n v="40"/>
    <n v="4"/>
    <n v="445"/>
    <s v="Delivered"/>
    <s v="Burrito House"/>
    <s v="Cloud Kitchen"/>
  </r>
  <r>
    <s v="O3090"/>
    <s v="R015"/>
    <x v="4"/>
    <x v="4"/>
    <x v="89"/>
    <n v="37"/>
    <n v="4"/>
    <n v="550"/>
    <s v="Delivered"/>
    <s v="Ahmedabad Bites"/>
    <s v="Dine-in"/>
  </r>
  <r>
    <s v="O3091"/>
    <s v="R001"/>
    <x v="0"/>
    <x v="0"/>
    <x v="90"/>
    <n v="29"/>
    <n v="5"/>
    <n v="670"/>
    <s v="Delivered"/>
    <s v="Spice Hub"/>
    <s v="Cloud Kitchen"/>
  </r>
  <r>
    <s v="O3092"/>
    <s v="R002"/>
    <x v="1"/>
    <x v="1"/>
    <x v="91"/>
    <n v="39"/>
    <n v="4"/>
    <n v="485"/>
    <s v="Delivered"/>
    <s v="Dragon Bowl"/>
    <s v="QSR"/>
  </r>
  <r>
    <s v="O3093"/>
    <s v="R003"/>
    <x v="2"/>
    <x v="2"/>
    <x v="92"/>
    <n v="31"/>
    <n v="5"/>
    <n v="775"/>
    <s v="Delivered"/>
    <s v="Pasta Point"/>
    <s v="Dine-in"/>
  </r>
  <r>
    <s v="O3094"/>
    <s v="R004"/>
    <x v="3"/>
    <x v="3"/>
    <x v="93"/>
    <n v="48"/>
    <n v="3"/>
    <n v="415"/>
    <s v="Delayed"/>
    <s v="Taco Town"/>
    <s v="QSR"/>
  </r>
  <r>
    <s v="O3095"/>
    <s v="R005"/>
    <x v="4"/>
    <x v="4"/>
    <x v="94"/>
    <n v="34"/>
    <n v="4"/>
    <n v="560"/>
    <s v="Delivered"/>
    <s v="Curry House"/>
    <s v="Dine-in"/>
  </r>
  <r>
    <s v="O3096"/>
    <s v="R006"/>
    <x v="0"/>
    <x v="0"/>
    <x v="95"/>
    <n v="27"/>
    <n v="5"/>
    <n v="700"/>
    <s v="Delivered"/>
    <s v="Desi Zaika"/>
    <s v="QSR"/>
  </r>
  <r>
    <s v="O3097"/>
    <s v="R007"/>
    <x v="1"/>
    <x v="1"/>
    <x v="96"/>
    <n v="45"/>
    <n v="3"/>
    <n v="455"/>
    <s v="Delayed"/>
    <s v="China Garden"/>
    <s v="Dine-in"/>
  </r>
  <r>
    <s v="O3098"/>
    <s v="R008"/>
    <x v="2"/>
    <x v="2"/>
    <x v="97"/>
    <n v="30"/>
    <n v="5"/>
    <n v="740"/>
    <s v="Delivered"/>
    <s v="Italiano"/>
    <s v="Cloud Kitchen"/>
  </r>
  <r>
    <s v="O3099"/>
    <s v="R009"/>
    <x v="3"/>
    <x v="3"/>
    <x v="98"/>
    <n v="41"/>
    <n v="4"/>
    <n v="465"/>
    <s v="Delayed"/>
    <s v="Mexican Grill"/>
    <s v="Dine-in"/>
  </r>
  <r>
    <s v="O3100"/>
    <s v="R010"/>
    <x v="4"/>
    <x v="4"/>
    <x v="99"/>
    <n v="36"/>
    <n v="4"/>
    <n v="530"/>
    <s v="Delivered"/>
    <s v="Food Factory"/>
    <s v="QSR"/>
  </r>
  <r>
    <s v="O3101"/>
    <s v="R011"/>
    <x v="0"/>
    <x v="0"/>
    <x v="100"/>
    <n v="32"/>
    <n v="5"/>
    <n v="690"/>
    <s v="Delivered"/>
    <s v="Punjabi Tadka"/>
    <s v="Dine-in"/>
  </r>
  <r>
    <s v="O3102"/>
    <s v="R012"/>
    <x v="1"/>
    <x v="1"/>
    <x v="101"/>
    <n v="43"/>
    <n v="3"/>
    <n v="440"/>
    <s v="Delayed"/>
    <s v="Wok Express"/>
    <s v="Cloud Kitchen"/>
  </r>
  <r>
    <s v="O3103"/>
    <s v="R013"/>
    <x v="2"/>
    <x v="2"/>
    <x v="102"/>
    <n v="28"/>
    <n v="5"/>
    <n v="785"/>
    <s v="Delivered"/>
    <s v="Pizza Corner"/>
    <s v="QSR"/>
  </r>
  <r>
    <s v="O3104"/>
    <s v="R014"/>
    <x v="3"/>
    <x v="3"/>
    <x v="103"/>
    <n v="47"/>
    <n v="3"/>
    <n v="425"/>
    <s v="Delayed"/>
    <s v="Burrito House"/>
    <s v="Cloud Kitchen"/>
  </r>
  <r>
    <s v="O3105"/>
    <s v="R015"/>
    <x v="4"/>
    <x v="4"/>
    <x v="104"/>
    <n v="35"/>
    <n v="4"/>
    <n v="570"/>
    <s v="Delivered"/>
    <s v="Ahmedabad Bites"/>
    <s v="Dine-in"/>
  </r>
  <r>
    <s v="O3106"/>
    <s v="R001"/>
    <x v="0"/>
    <x v="0"/>
    <x v="105"/>
    <n v="30"/>
    <n v="5"/>
    <n v="655"/>
    <s v="Delivered"/>
    <s v="Spice Hub"/>
    <s v="Cloud Kitchen"/>
  </r>
  <r>
    <s v="O3107"/>
    <s v="R002"/>
    <x v="1"/>
    <x v="1"/>
    <x v="106"/>
    <n v="40"/>
    <n v="4"/>
    <n v="495"/>
    <s v="Delivered"/>
    <s v="Dragon Bowl"/>
    <s v="QSR"/>
  </r>
  <r>
    <s v="O3108"/>
    <s v="R003"/>
    <x v="2"/>
    <x v="2"/>
    <x v="107"/>
    <n v="29"/>
    <n v="5"/>
    <n v="805"/>
    <s v="Delivered"/>
    <s v="Pasta Point"/>
    <s v="Dine-in"/>
  </r>
  <r>
    <s v="O3109"/>
    <s v="R004"/>
    <x v="3"/>
    <x v="3"/>
    <x v="108"/>
    <n v="44"/>
    <n v="3"/>
    <n v="410"/>
    <s v="Delayed"/>
    <s v="Taco Town"/>
    <s v="QSR"/>
  </r>
  <r>
    <s v="O3110"/>
    <s v="R005"/>
    <x v="4"/>
    <x v="4"/>
    <x v="109"/>
    <n v="33"/>
    <n v="4"/>
    <n v="545"/>
    <s v="Delivered"/>
    <s v="Curry House"/>
    <s v="Dine-in"/>
  </r>
  <r>
    <s v="O3111"/>
    <s v="R006"/>
    <x v="0"/>
    <x v="0"/>
    <x v="110"/>
    <n v="26"/>
    <n v="5"/>
    <n v="715"/>
    <s v="Delivered"/>
    <s v="Desi Zaika"/>
    <s v="QSR"/>
  </r>
  <r>
    <s v="O3112"/>
    <s v="R007"/>
    <x v="1"/>
    <x v="1"/>
    <x v="111"/>
    <n v="46"/>
    <n v="3"/>
    <n v="430"/>
    <s v="Delayed"/>
    <s v="China Garden"/>
    <s v="Dine-in"/>
  </r>
  <r>
    <s v="O3113"/>
    <s v="R008"/>
    <x v="2"/>
    <x v="2"/>
    <x v="112"/>
    <n v="32"/>
    <n v="5"/>
    <n v="755"/>
    <s v="Delivered"/>
    <s v="Italiano"/>
    <s v="Cloud Kitchen"/>
  </r>
  <r>
    <s v="O3114"/>
    <s v="R009"/>
    <x v="3"/>
    <x v="3"/>
    <x v="113"/>
    <n v="39"/>
    <n v="4"/>
    <n v="460"/>
    <s v="Delivered"/>
    <s v="Mexican Grill"/>
    <s v="Dine-in"/>
  </r>
  <r>
    <s v="O3115"/>
    <s v="R010"/>
    <x v="4"/>
    <x v="4"/>
    <x v="114"/>
    <n v="42"/>
    <n v="3"/>
    <n v="520"/>
    <s v="Delayed"/>
    <s v="Food Factory"/>
    <s v="QSR"/>
  </r>
  <r>
    <s v="O3116"/>
    <s v="R011"/>
    <x v="0"/>
    <x v="0"/>
    <x v="115"/>
    <n v="31"/>
    <n v="5"/>
    <n v="685"/>
    <s v="Delivered"/>
    <s v="Punjabi Tadka"/>
    <s v="Dine-in"/>
  </r>
  <r>
    <s v="O3117"/>
    <s v="R012"/>
    <x v="1"/>
    <x v="1"/>
    <x v="116"/>
    <n v="48"/>
    <n v="3"/>
    <n v="415"/>
    <s v="Delayed"/>
    <s v="Wok Express"/>
    <s v="Cloud Kitchen"/>
  </r>
  <r>
    <s v="O3118"/>
    <s v="R013"/>
    <x v="2"/>
    <x v="2"/>
    <x v="117"/>
    <n v="27"/>
    <n v="5"/>
    <n v="820"/>
    <s v="Delivered"/>
    <s v="Pizza Corner"/>
    <s v="QSR"/>
  </r>
  <r>
    <s v="O3119"/>
    <s v="R014"/>
    <x v="3"/>
    <x v="3"/>
    <x v="118"/>
    <n v="40"/>
    <n v="4"/>
    <n v="450"/>
    <s v="Delivered"/>
    <s v="Burrito House"/>
    <s v="Cloud Kitchen"/>
  </r>
  <r>
    <s v="O3120"/>
    <s v="R015"/>
    <x v="4"/>
    <x v="4"/>
    <x v="119"/>
    <n v="36"/>
    <n v="4"/>
    <n v="555"/>
    <s v="Delivered"/>
    <s v="Ahmedabad Bites"/>
    <s v="Dine-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12B84-C4B0-4AA4-BF94-71F97C15E7E7}" name="PivotTable1"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M11" firstHeaderRow="1" firstDataRow="3" firstDataCol="1" rowPageCount="1" colPageCount="1"/>
  <pivotFields count="9">
    <pivotField numFmtId="14" showAll="0">
      <items count="15">
        <item x="0"/>
        <item x="1"/>
        <item x="2"/>
        <item x="3"/>
        <item x="4"/>
        <item x="5"/>
        <item x="6"/>
        <item x="7"/>
        <item x="8"/>
        <item x="9"/>
        <item x="10"/>
        <item x="11"/>
        <item x="12"/>
        <item x="13"/>
        <item t="default"/>
      </items>
    </pivotField>
    <pivotField axis="axisRow" showAll="0">
      <items count="6">
        <item x="1"/>
        <item x="4"/>
        <item x="0"/>
        <item x="2"/>
        <item x="3"/>
        <item t="default"/>
      </items>
    </pivotField>
    <pivotField axis="axisCol" showAll="0">
      <items count="6">
        <item x="4"/>
        <item x="2"/>
        <item x="0"/>
        <item x="1"/>
        <item x="3"/>
        <item t="default"/>
      </items>
    </pivotField>
    <pivotField dataField="1" showAll="0"/>
    <pivotField showAll="0"/>
    <pivotField axis="axisPage" showAll="0">
      <items count="3">
        <item x="1"/>
        <item x="0"/>
        <item t="default"/>
      </items>
    </pivotField>
    <pivotField showAll="0"/>
    <pivotField showAll="0">
      <items count="7">
        <item x="0"/>
        <item x="1"/>
        <item x="2"/>
        <item x="3"/>
        <item x="4"/>
        <item x="5"/>
        <item t="default"/>
      </items>
    </pivotField>
    <pivotField dataField="1" dragToRow="0" dragToCol="0" dragToPage="0" showAll="0" defaultSubtotal="0"/>
  </pivotFields>
  <rowFields count="1">
    <field x="1"/>
  </rowFields>
  <rowItems count="6">
    <i>
      <x/>
    </i>
    <i>
      <x v="1"/>
    </i>
    <i>
      <x v="2"/>
    </i>
    <i>
      <x v="3"/>
    </i>
    <i>
      <x v="4"/>
    </i>
    <i t="grand">
      <x/>
    </i>
  </rowItems>
  <colFields count="2">
    <field x="2"/>
    <field x="-2"/>
  </colFields>
  <colItems count="12">
    <i>
      <x/>
      <x/>
    </i>
    <i r="1" i="1">
      <x v="1"/>
    </i>
    <i>
      <x v="1"/>
      <x/>
    </i>
    <i r="1" i="1">
      <x v="1"/>
    </i>
    <i>
      <x v="2"/>
      <x/>
    </i>
    <i r="1" i="1">
      <x v="1"/>
    </i>
    <i>
      <x v="3"/>
      <x/>
    </i>
    <i r="1" i="1">
      <x v="1"/>
    </i>
    <i>
      <x v="4"/>
      <x/>
    </i>
    <i r="1" i="1">
      <x v="1"/>
    </i>
    <i t="grand">
      <x/>
    </i>
    <i t="grand" i="1">
      <x/>
    </i>
  </colItems>
  <pageFields count="1">
    <pageField fld="5" hier="-1"/>
  </pageFields>
  <dataFields count="2">
    <dataField name="Sum of  Revenue " fld="3" baseField="0" baseItem="0"/>
    <dataField name="Sum of AvgRevenuePerOrder" fld="8"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1"/>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4"/>
          </reference>
        </references>
      </pivotArea>
    </chartFormat>
    <chartFormat chart="0" format="9" series="1">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6CFD5-7EBD-44CC-99C8-B1721AEB3AD8}" name="PivotTable2" cacheId="3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8" firstHeaderRow="1" firstDataRow="1" firstDataCol="1"/>
  <pivotFields count="9">
    <pivotField axis="axisRow" dataField="1" numFmtId="14" showAll="0">
      <items count="15">
        <item x="0"/>
        <item x="1"/>
        <item x="2"/>
        <item x="3"/>
        <item x="4"/>
        <item x="5"/>
        <item x="6"/>
        <item x="7"/>
        <item x="8"/>
        <item x="9"/>
        <item x="10"/>
        <item x="11"/>
        <item x="12"/>
        <item x="13"/>
        <item t="default"/>
      </items>
    </pivotField>
    <pivotField showAll="0">
      <items count="6">
        <item x="1"/>
        <item x="4"/>
        <item x="0"/>
        <item x="2"/>
        <item x="3"/>
        <item t="default"/>
      </items>
    </pivotField>
    <pivotField showAll="0"/>
    <pivotField showAll="0"/>
    <pivotField showAll="0"/>
    <pivotField showAll="0"/>
    <pivotField showAll="0"/>
    <pivotField axis="axisRow" showAll="0">
      <items count="7">
        <item x="0"/>
        <item x="1"/>
        <item x="2"/>
        <item x="3"/>
        <item x="4"/>
        <item x="5"/>
        <item t="default"/>
      </items>
    </pivotField>
    <pivotField dragToRow="0" dragToCol="0" dragToPage="0" showAll="0" defaultSubtotal="0"/>
  </pivotFields>
  <rowFields count="2">
    <field x="7"/>
    <field x="0"/>
  </rowFields>
  <rowItems count="5">
    <i>
      <x v="3"/>
    </i>
    <i r="1">
      <x v="7"/>
    </i>
    <i r="1">
      <x v="8"/>
    </i>
    <i r="1">
      <x v="9"/>
    </i>
    <i t="grand">
      <x/>
    </i>
  </rowItems>
  <colItems count="1">
    <i/>
  </colItems>
  <dataFields count="1">
    <dataField name="Count of OrderDate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2B087-FEFB-46D6-9080-FA654ADBD8E2}" name="PivotTable4" cacheId="4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G10" firstHeaderRow="1" firstDataRow="2" firstDataCol="1"/>
  <pivotFields count="11">
    <pivotField showAll="0"/>
    <pivotField showAll="0"/>
    <pivotField axis="axisRow" showAll="0">
      <items count="6">
        <item x="1"/>
        <item x="4"/>
        <item x="0"/>
        <item x="2"/>
        <item x="3"/>
        <item t="default"/>
      </items>
    </pivotField>
    <pivotField axis="axisCol" showAll="0">
      <items count="6">
        <item x="4"/>
        <item x="2"/>
        <item x="0"/>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Revenue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40DC7D-D1B3-454C-BA12-805DB572A084}" name="PivotTable5" cacheId="4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8" firstHeaderRow="1" firstDataRow="1" firstDataCol="1"/>
  <pivotFields count="11">
    <pivotField dataField="1" showAll="0"/>
    <pivotField showAll="0"/>
    <pivotField showAll="0"/>
    <pivotField showAll="0">
      <items count="6">
        <item x="4"/>
        <item x="2"/>
        <item x="0"/>
        <item x="1"/>
        <item x="3"/>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s>
  <rowFields count="1">
    <field x="4"/>
  </rowFields>
  <rowItems count="5">
    <i>
      <x v="7"/>
    </i>
    <i>
      <x v="8"/>
    </i>
    <i>
      <x v="9"/>
    </i>
    <i>
      <x v="10"/>
    </i>
    <i t="grand">
      <x/>
    </i>
  </rowItems>
  <colItems count="1">
    <i/>
  </colItems>
  <dataFields count="1">
    <dataField name="Count of OrderI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57396775-BC07-44EB-AB84-0872FE832EB9}" sourceName=" Cuisine ">
  <pivotTables>
    <pivotTable tabId="6" name="PivotTable1"/>
    <pivotTable tabId="7" name="PivotTable2"/>
  </pivotTables>
  <data>
    <tabular pivotCacheId="1412276931">
      <items count="5">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EC258953-DE78-4E81-A8B7-3A3563953A1A}" sourceName=" Zone ">
  <pivotTables>
    <pivotTable tabId="13" name="PivotTable4"/>
    <pivotTable tabId="14" name="PivotTable5"/>
  </pivotTables>
  <data>
    <tabular pivotCacheId="419796976">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uisine " xr10:uid="{65140F0A-AFD1-4501-8CF2-9BB523652AE4}" cache="Slicer_Cuisine" caption=" Cuisine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Zone " xr10:uid="{B54DE67B-2DE8-48D2-8E10-471BBDDB6B0A}" cache="Slicer_Zone" caption=" Zon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7A526-B1E9-4542-B8AA-BF47629EC962}" name="tblTask1" displayName="tblTask1" ref="A1:H31" totalsRowShown="0" headerRowDxfId="31" dataDxfId="30">
  <tableColumns count="8">
    <tableColumn id="1" xr3:uid="{A56CFD96-DC21-4E4F-AA87-136A4145377F}" name="OrderID" dataDxfId="29"/>
    <tableColumn id="2" xr3:uid="{DDEF139A-55DA-4580-8944-46B088FEDE23}" name="CustomerName" dataDxfId="28"/>
    <tableColumn id="3" xr3:uid="{77E419CC-E121-4BB8-8048-43391DD1FF98}" name="Cuisine" dataDxfId="27"/>
    <tableColumn id="4" xr3:uid="{12BE4320-4A1E-4ADF-A1C4-238842139440}" name="OrderDate" dataDxfId="26"/>
    <tableColumn id="5" xr3:uid="{11DA9FA0-B4E2-446D-A745-FEEBFF439BAE}" name="DeliveryTime (minutes)" dataDxfId="25"/>
    <tableColumn id="6" xr3:uid="{445480CB-0066-41C2-870E-E2D57C52B5DC}" name="Rating" dataDxfId="24"/>
    <tableColumn id="7" xr3:uid="{9179D5C5-DC7F-4867-A8BA-56A344CA5FD6}" name="Revenue (Rs)" dataDxfId="23"/>
    <tableColumn id="8" xr3:uid="{98A6CD67-7257-4D55-B1CE-A13A5D9838A6}" name="Statu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40F51E-659E-4C67-A477-168EB22A3282}" name="Table2" displayName="Table2" ref="A1:E16" totalsRowShown="0" headerRowDxfId="15" dataDxfId="16">
  <autoFilter ref="A1:E16" xr:uid="{F340F51E-659E-4C67-A477-168EB22A3282}"/>
  <tableColumns count="5">
    <tableColumn id="1" xr3:uid="{02166C52-7F29-4594-9DA6-5C89D3F88BA2}" name="Restaurant ID" dataDxfId="21"/>
    <tableColumn id="2" xr3:uid="{3E69CF73-CC3C-499C-AB9E-A6D7DEB5E83A}" name="Restaurant Name" dataDxfId="20"/>
    <tableColumn id="3" xr3:uid="{36196DDF-FFBE-4A8B-AE64-CE0799CCD3D4}" name="Zone " dataDxfId="19"/>
    <tableColumn id="4" xr3:uid="{6CAFBADD-57A8-4FF9-8364-DAC16D434643}" name="Category" dataDxfId="18"/>
    <tableColumn id="5" xr3:uid="{C9F4226B-7B9A-4C89-8D3D-4DD2A5187BD9}" name="Avg Rating"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669D6C-DFD6-4AAD-A53C-5B1DA6C39D16}" name="Table3" displayName="Table3" ref="A1:I16" totalsRowShown="0" headerRowDxfId="13">
  <autoFilter ref="A1:I16" xr:uid="{6C669D6C-DFD6-4AAD-A53C-5B1DA6C39D16}"/>
  <tableColumns count="9">
    <tableColumn id="1" xr3:uid="{2EB81EDB-11CF-4D03-9BC5-E0B639427B3F}" name="OrderID "/>
    <tableColumn id="2" xr3:uid="{DB02DA34-F6CA-4B4D-BCD7-89BFDAA770CE}" name=" RestaurantID "/>
    <tableColumn id="3" xr3:uid="{4F1F2F8E-810B-4C2E-9EA7-D280A1BCE59E}" name=" OrderDate " dataDxfId="14"/>
    <tableColumn id="4" xr3:uid="{0348EF08-3514-4973-8D64-4387CB5FE0EF}" name=" Cuisine "/>
    <tableColumn id="5" xr3:uid="{BC7E8273-98EC-4E72-8BEB-8365B3AC55E4}" name=" Revenue (Rs) "/>
    <tableColumn id="6" xr3:uid="{874E31E3-E091-4F64-AE25-B6F8123698FF}" name=" DeliveryTime "/>
    <tableColumn id="7" xr3:uid="{C41873DE-5974-408D-A3B1-4CC88E1C39E4}" name=" Status"/>
    <tableColumn id="8" xr3:uid="{6F064621-5512-41EF-B103-52ADF174C45B}" name="Restaurant Name" dataDxfId="12">
      <calculatedColumnFormula>_xlfn.XLOOKUP(B2,Restaurants!$A$2:$A$16,Restaurants!$B$2:$B$16,"Not Listed")</calculatedColumnFormula>
    </tableColumn>
    <tableColumn id="9" xr3:uid="{402A488C-66C9-4BC2-8B79-46575AAFA547}" name="Zone" dataDxfId="11">
      <calculatedColumnFormula>INDEX(Restaurants!$C$2:$C$16,MATCH(B2,Restaurants!$A$2:$A$16,0))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1A17F8-FF25-496C-B6F0-586A50E60640}" name="tblOrders" displayName="tblOrders" ref="A1:G51" totalsRowShown="0" headerRowDxfId="9">
  <autoFilter ref="A1:G51" xr:uid="{001A17F8-FF25-496C-B6F0-586A50E60640}"/>
  <tableColumns count="7">
    <tableColumn id="1" xr3:uid="{8A5C98C8-65B3-4DEA-B91F-07E28986C63A}" name="OrderDate " dataDxfId="10"/>
    <tableColumn id="2" xr3:uid="{6A0FBB89-6A4D-4D49-B9F4-7890FBD795CE}" name=" Cuisine "/>
    <tableColumn id="3" xr3:uid="{FAB5DB19-464D-4CF6-8310-5FA920418377}" name=" Zone "/>
    <tableColumn id="4" xr3:uid="{B0463168-CC53-4000-B3A9-43581DEC62C8}" name=" Revenue "/>
    <tableColumn id="5" xr3:uid="{3457527F-D578-488B-9193-C611E4625247}" name=" DeliveryTime "/>
    <tableColumn id="6" xr3:uid="{7F3EF21A-F2DE-4E81-831E-738E8D193B4D}" name=" Status"/>
    <tableColumn id="7" xr3:uid="{E16D358A-30A7-4D95-B1AF-2931E337DFC3}" name="Orders" dataDxfId="8">
      <calculatedColumnFormula>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140DFE-84F7-47DA-9A0A-C9990DAB74CA}" name="Table5" displayName="Table5" ref="A1:K121" totalsRowShown="0" headerRowDxfId="3">
  <autoFilter ref="A1:K121" xr:uid="{2C140DFE-84F7-47DA-9A0A-C9990DAB74CA}"/>
  <tableColumns count="11">
    <tableColumn id="1" xr3:uid="{9A7F967C-CFB7-4813-95D4-9D3C7BBCB7D4}" name="OrderID "/>
    <tableColumn id="2" xr3:uid="{821280E3-4A2D-44F4-B2E7-E3C7FFF7742E}" name=" RestaurantID "/>
    <tableColumn id="3" xr3:uid="{F4DC82D5-8150-4CB6-A546-00C53EE4CA1A}" name=" Cuisine "/>
    <tableColumn id="4" xr3:uid="{B05ECA00-21EC-43C8-A775-7082B8E2959D}" name=" Zone "/>
    <tableColumn id="5" xr3:uid="{A0274B3C-D1E4-4D92-83C9-B2A8146E6B03}" name="OrderDate" dataDxfId="4"/>
    <tableColumn id="6" xr3:uid="{C67B9E6D-6AA6-453A-9D49-0AC16326A0A9}" name=" DeliveryTime "/>
    <tableColumn id="7" xr3:uid="{6EA1E496-F28D-4B40-83ED-EB5B5B3AEC0C}" name=" Rating "/>
    <tableColumn id="8" xr3:uid="{B0ABDB0B-7068-4D9E-9BEE-8E5977CC7D55}" name=" Revenue "/>
    <tableColumn id="9" xr3:uid="{F75D6538-16FD-43E4-B557-D5066C0C2109}" name=" Status"/>
    <tableColumn id="10" xr3:uid="{5430AF0D-F72F-4C0E-837A-6B1D3211E557}" name="Restaurant Name " dataDxfId="2">
      <calculatedColumnFormula>_xlfn.XLOOKUP(B2,Restaurants!$A$2:$A$16,Restaurants!$B$2:$B$16,"Unknown")</calculatedColumnFormula>
    </tableColumn>
    <tableColumn id="11" xr3:uid="{51CA0A8E-01F8-4411-BEAA-8A6D7B3736E5}" name="Categories" dataDxfId="1">
      <calculatedColumnFormula>_xlfn.XLOOKUP(B2,Restaurants!$A$2:$A$16,Restaurants!$D$2:$D$16,"Unknown")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B090BEE-EECD-4FAD-B4F1-DD1C1BECA48F}" sourceName="OrderDate ">
  <pivotTables>
    <pivotTable tabId="7" name="PivotTable2"/>
  </pivotTables>
  <state minimalRefreshVersion="6" lastRefreshVersion="6" pivotCacheId="1412276931" filterType="unknown">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1" xr10:uid="{75844B93-967D-49AC-BE4D-D6E84A24CE81}" sourceName="OrderDate">
  <pivotTables>
    <pivotTable tabId="14" name="PivotTable5"/>
    <pivotTable tabId="13" name="PivotTable4"/>
  </pivotTables>
  <state minimalRefreshVersion="6" lastRefreshVersion="6" pivotCacheId="41979697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 xr10:uid="{57226CE3-1342-4F00-AD29-6871DAAB540F}" cache="NativeTimeline_OrderDate" caption="OrderDate "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104DE36-4102-45E1-AB36-ACA7ABA2EAD0}" cache="NativeTimeline_OrderDate1" caption="OrderDate" level="2" selectionLevel="2" scrollPosition="2026-06-0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DD22B-A429-4462-ABD7-9E677A263CDE}">
  <dimension ref="A1:Q31"/>
  <sheetViews>
    <sheetView topLeftCell="C1" zoomScale="77" workbookViewId="0">
      <selection activeCell="G318" sqref="G318"/>
    </sheetView>
  </sheetViews>
  <sheetFormatPr defaultRowHeight="14.5" x14ac:dyDescent="0.35"/>
  <cols>
    <col min="1" max="1" width="13.81640625" customWidth="1"/>
    <col min="2" max="2" width="15.90625" customWidth="1"/>
    <col min="3" max="3" width="13.90625" customWidth="1"/>
    <col min="4" max="4" width="13.7265625" customWidth="1"/>
    <col min="5" max="5" width="22.1796875" customWidth="1"/>
    <col min="6" max="6" width="10.54296875" customWidth="1"/>
    <col min="7" max="7" width="14.7265625" customWidth="1"/>
    <col min="8" max="8" width="11.81640625" customWidth="1"/>
    <col min="11" max="11" width="11.453125" customWidth="1"/>
    <col min="13" max="13" width="13.54296875" customWidth="1"/>
    <col min="16" max="16" width="13.36328125" customWidth="1"/>
    <col min="17" max="17" width="14.7265625" customWidth="1"/>
  </cols>
  <sheetData>
    <row r="1" spans="1:17" ht="29" x14ac:dyDescent="0.35">
      <c r="A1" s="5" t="s">
        <v>0</v>
      </c>
      <c r="B1" s="5" t="s">
        <v>1</v>
      </c>
      <c r="C1" s="5" t="s">
        <v>2</v>
      </c>
      <c r="D1" s="6" t="s">
        <v>3</v>
      </c>
      <c r="E1" s="5" t="s">
        <v>4</v>
      </c>
      <c r="F1" s="5" t="s">
        <v>5</v>
      </c>
      <c r="G1" s="5" t="s">
        <v>6</v>
      </c>
      <c r="H1" s="5" t="s">
        <v>7</v>
      </c>
      <c r="J1" s="10" t="s">
        <v>7</v>
      </c>
      <c r="K1" s="10" t="s">
        <v>6</v>
      </c>
      <c r="L1" s="10" t="s">
        <v>5</v>
      </c>
      <c r="M1" s="2"/>
    </row>
    <row r="2" spans="1:17" x14ac:dyDescent="0.35">
      <c r="A2" s="3" t="s">
        <v>8</v>
      </c>
      <c r="B2" s="3" t="s">
        <v>9</v>
      </c>
      <c r="C2" s="3" t="s">
        <v>10</v>
      </c>
      <c r="D2" s="4">
        <v>46266</v>
      </c>
      <c r="E2" s="3">
        <v>28</v>
      </c>
      <c r="F2" s="3">
        <v>5</v>
      </c>
      <c r="G2" s="3">
        <v>650</v>
      </c>
      <c r="H2" s="3" t="s">
        <v>11</v>
      </c>
      <c r="J2" s="8" t="s">
        <v>11</v>
      </c>
      <c r="K2" s="8" t="s">
        <v>78</v>
      </c>
      <c r="L2" s="8" t="s">
        <v>79</v>
      </c>
      <c r="M2" s="2"/>
    </row>
    <row r="3" spans="1:17" x14ac:dyDescent="0.35">
      <c r="A3" s="3" t="s">
        <v>12</v>
      </c>
      <c r="B3" s="3" t="s">
        <v>13</v>
      </c>
      <c r="C3" s="3" t="s">
        <v>14</v>
      </c>
      <c r="D3" s="4">
        <v>46266</v>
      </c>
      <c r="E3" s="3">
        <v>42</v>
      </c>
      <c r="F3" s="3">
        <v>4</v>
      </c>
      <c r="G3" s="3">
        <v>480</v>
      </c>
      <c r="H3" s="3" t="s">
        <v>11</v>
      </c>
    </row>
    <row r="4" spans="1:17" x14ac:dyDescent="0.35">
      <c r="A4" s="3" t="s">
        <v>15</v>
      </c>
      <c r="B4" s="3" t="s">
        <v>16</v>
      </c>
      <c r="C4" s="3" t="s">
        <v>17</v>
      </c>
      <c r="D4" s="4">
        <v>46267</v>
      </c>
      <c r="E4" s="3">
        <v>55</v>
      </c>
      <c r="F4" s="3">
        <v>3</v>
      </c>
      <c r="G4" s="3">
        <v>720</v>
      </c>
      <c r="H4" s="3" t="s">
        <v>18</v>
      </c>
      <c r="J4" s="5" t="s">
        <v>0</v>
      </c>
      <c r="K4" s="5" t="s">
        <v>1</v>
      </c>
      <c r="L4" s="5" t="s">
        <v>2</v>
      </c>
      <c r="M4" s="6" t="s">
        <v>3</v>
      </c>
      <c r="N4" s="5" t="s">
        <v>4</v>
      </c>
      <c r="O4" s="5" t="s">
        <v>5</v>
      </c>
      <c r="P4" s="5" t="s">
        <v>6</v>
      </c>
      <c r="Q4" s="5" t="s">
        <v>7</v>
      </c>
    </row>
    <row r="5" spans="1:17" x14ac:dyDescent="0.35">
      <c r="A5" s="3" t="s">
        <v>19</v>
      </c>
      <c r="B5" s="3" t="s">
        <v>20</v>
      </c>
      <c r="C5" s="3" t="s">
        <v>21</v>
      </c>
      <c r="D5" s="4">
        <v>46267</v>
      </c>
      <c r="E5" s="3">
        <v>25</v>
      </c>
      <c r="F5" s="3">
        <v>5</v>
      </c>
      <c r="G5" s="3">
        <v>850</v>
      </c>
      <c r="H5" s="3" t="s">
        <v>11</v>
      </c>
      <c r="J5" s="3" t="s">
        <v>8</v>
      </c>
      <c r="K5" s="3" t="s">
        <v>9</v>
      </c>
      <c r="L5" s="3" t="s">
        <v>10</v>
      </c>
      <c r="M5" s="4">
        <v>46266</v>
      </c>
      <c r="N5" s="3">
        <v>28</v>
      </c>
      <c r="O5" s="3">
        <v>5</v>
      </c>
      <c r="P5" s="3">
        <v>650</v>
      </c>
      <c r="Q5" s="3" t="s">
        <v>11</v>
      </c>
    </row>
    <row r="6" spans="1:17" x14ac:dyDescent="0.35">
      <c r="A6" s="3" t="s">
        <v>22</v>
      </c>
      <c r="B6" s="3" t="s">
        <v>23</v>
      </c>
      <c r="C6" s="3" t="s">
        <v>24</v>
      </c>
      <c r="D6" s="4">
        <v>46268</v>
      </c>
      <c r="E6" s="3">
        <v>38</v>
      </c>
      <c r="F6" s="3">
        <v>4</v>
      </c>
      <c r="G6" s="3">
        <v>550</v>
      </c>
      <c r="H6" s="3" t="s">
        <v>11</v>
      </c>
      <c r="J6" s="3" t="s">
        <v>19</v>
      </c>
      <c r="K6" s="3" t="s">
        <v>20</v>
      </c>
      <c r="L6" s="3" t="s">
        <v>21</v>
      </c>
      <c r="M6" s="4">
        <v>46267</v>
      </c>
      <c r="N6" s="3">
        <v>25</v>
      </c>
      <c r="O6" s="3">
        <v>5</v>
      </c>
      <c r="P6" s="3">
        <v>850</v>
      </c>
      <c r="Q6" s="3" t="s">
        <v>11</v>
      </c>
    </row>
    <row r="7" spans="1:17" x14ac:dyDescent="0.35">
      <c r="A7" s="3" t="s">
        <v>25</v>
      </c>
      <c r="B7" s="3" t="s">
        <v>26</v>
      </c>
      <c r="C7" s="3" t="s">
        <v>10</v>
      </c>
      <c r="D7" s="4">
        <v>46268</v>
      </c>
      <c r="E7" s="3">
        <v>65</v>
      </c>
      <c r="F7" s="3">
        <v>2</v>
      </c>
      <c r="G7" s="3">
        <v>430</v>
      </c>
      <c r="H7" s="3" t="s">
        <v>18</v>
      </c>
      <c r="J7" s="3" t="s">
        <v>22</v>
      </c>
      <c r="K7" s="3" t="s">
        <v>23</v>
      </c>
      <c r="L7" s="3" t="s">
        <v>24</v>
      </c>
      <c r="M7" s="4">
        <v>46268</v>
      </c>
      <c r="N7" s="3">
        <v>38</v>
      </c>
      <c r="O7" s="3">
        <v>4</v>
      </c>
      <c r="P7" s="3">
        <v>550</v>
      </c>
      <c r="Q7" s="3" t="s">
        <v>11</v>
      </c>
    </row>
    <row r="8" spans="1:17" x14ac:dyDescent="0.35">
      <c r="A8" s="3" t="s">
        <v>27</v>
      </c>
      <c r="B8" s="3" t="s">
        <v>28</v>
      </c>
      <c r="C8" s="3" t="s">
        <v>14</v>
      </c>
      <c r="D8" s="4">
        <v>46269</v>
      </c>
      <c r="E8" s="3">
        <v>22</v>
      </c>
      <c r="F8" s="3">
        <v>5</v>
      </c>
      <c r="G8" s="3">
        <v>920</v>
      </c>
      <c r="H8" s="3" t="s">
        <v>11</v>
      </c>
      <c r="J8" s="3" t="s">
        <v>27</v>
      </c>
      <c r="K8" s="3" t="s">
        <v>28</v>
      </c>
      <c r="L8" s="3" t="s">
        <v>14</v>
      </c>
      <c r="M8" s="4">
        <v>46269</v>
      </c>
      <c r="N8" s="3">
        <v>22</v>
      </c>
      <c r="O8" s="3">
        <v>5</v>
      </c>
      <c r="P8" s="3">
        <v>920</v>
      </c>
      <c r="Q8" s="3" t="s">
        <v>11</v>
      </c>
    </row>
    <row r="9" spans="1:17" x14ac:dyDescent="0.35">
      <c r="A9" s="3" t="s">
        <v>29</v>
      </c>
      <c r="B9" s="3" t="s">
        <v>30</v>
      </c>
      <c r="C9" s="3" t="s">
        <v>17</v>
      </c>
      <c r="D9" s="4">
        <v>46269</v>
      </c>
      <c r="E9" s="3">
        <v>48</v>
      </c>
      <c r="F9" s="3">
        <v>3</v>
      </c>
      <c r="G9" s="3">
        <v>610</v>
      </c>
      <c r="H9" s="3" t="s">
        <v>18</v>
      </c>
      <c r="J9" s="3" t="s">
        <v>31</v>
      </c>
      <c r="K9" s="3" t="s">
        <v>32</v>
      </c>
      <c r="L9" s="3" t="s">
        <v>21</v>
      </c>
      <c r="M9" s="4">
        <v>46270</v>
      </c>
      <c r="N9" s="3">
        <v>30</v>
      </c>
      <c r="O9" s="3">
        <v>4</v>
      </c>
      <c r="P9" s="3">
        <v>520</v>
      </c>
      <c r="Q9" s="3" t="s">
        <v>11</v>
      </c>
    </row>
    <row r="10" spans="1:17" x14ac:dyDescent="0.35">
      <c r="A10" s="3" t="s">
        <v>31</v>
      </c>
      <c r="B10" s="3" t="s">
        <v>32</v>
      </c>
      <c r="C10" s="3" t="s">
        <v>21</v>
      </c>
      <c r="D10" s="4">
        <v>46270</v>
      </c>
      <c r="E10" s="3">
        <v>30</v>
      </c>
      <c r="F10" s="3">
        <v>4</v>
      </c>
      <c r="G10" s="3">
        <v>520</v>
      </c>
      <c r="H10" s="3" t="s">
        <v>11</v>
      </c>
      <c r="J10" s="3" t="s">
        <v>36</v>
      </c>
      <c r="K10" s="3" t="s">
        <v>37</v>
      </c>
      <c r="L10" s="3" t="s">
        <v>10</v>
      </c>
      <c r="M10" s="4">
        <v>46271</v>
      </c>
      <c r="N10" s="3">
        <v>27</v>
      </c>
      <c r="O10" s="3">
        <v>5</v>
      </c>
      <c r="P10" s="3">
        <v>760</v>
      </c>
      <c r="Q10" s="3" t="s">
        <v>11</v>
      </c>
    </row>
    <row r="11" spans="1:17" x14ac:dyDescent="0.35">
      <c r="A11" s="3" t="s">
        <v>33</v>
      </c>
      <c r="B11" s="3" t="s">
        <v>34</v>
      </c>
      <c r="C11" s="3" t="s">
        <v>24</v>
      </c>
      <c r="D11" s="4">
        <v>46270</v>
      </c>
      <c r="E11" s="3">
        <v>75</v>
      </c>
      <c r="F11" s="3">
        <v>2</v>
      </c>
      <c r="G11" s="3">
        <v>380</v>
      </c>
      <c r="H11" s="3" t="s">
        <v>35</v>
      </c>
      <c r="J11" s="3" t="s">
        <v>38</v>
      </c>
      <c r="K11" s="3" t="s">
        <v>39</v>
      </c>
      <c r="L11" s="3" t="s">
        <v>14</v>
      </c>
      <c r="M11" s="4">
        <v>46271</v>
      </c>
      <c r="N11" s="3">
        <v>35</v>
      </c>
      <c r="O11" s="3">
        <v>4</v>
      </c>
      <c r="P11" s="3">
        <v>590</v>
      </c>
      <c r="Q11" s="3" t="s">
        <v>11</v>
      </c>
    </row>
    <row r="12" spans="1:17" x14ac:dyDescent="0.35">
      <c r="A12" s="3" t="s">
        <v>36</v>
      </c>
      <c r="B12" s="3" t="s">
        <v>37</v>
      </c>
      <c r="C12" s="3" t="s">
        <v>10</v>
      </c>
      <c r="D12" s="4">
        <v>46271</v>
      </c>
      <c r="E12" s="3">
        <v>27</v>
      </c>
      <c r="F12" s="3">
        <v>5</v>
      </c>
      <c r="G12" s="3">
        <v>760</v>
      </c>
      <c r="H12" s="3" t="s">
        <v>11</v>
      </c>
      <c r="J12" s="3" t="s">
        <v>42</v>
      </c>
      <c r="K12" s="3" t="s">
        <v>43</v>
      </c>
      <c r="L12" s="3" t="s">
        <v>21</v>
      </c>
      <c r="M12" s="4">
        <v>46272</v>
      </c>
      <c r="N12" s="3">
        <v>29</v>
      </c>
      <c r="O12" s="3">
        <v>5</v>
      </c>
      <c r="P12" s="3">
        <v>910</v>
      </c>
      <c r="Q12" s="3" t="s">
        <v>11</v>
      </c>
    </row>
    <row r="13" spans="1:17" x14ac:dyDescent="0.35">
      <c r="A13" s="3" t="s">
        <v>38</v>
      </c>
      <c r="B13" s="3" t="s">
        <v>39</v>
      </c>
      <c r="C13" s="3" t="s">
        <v>14</v>
      </c>
      <c r="D13" s="4">
        <v>46271</v>
      </c>
      <c r="E13" s="3">
        <v>35</v>
      </c>
      <c r="F13" s="3">
        <v>4</v>
      </c>
      <c r="G13" s="3">
        <v>590</v>
      </c>
      <c r="H13" s="3" t="s">
        <v>11</v>
      </c>
      <c r="J13" s="3" t="s">
        <v>44</v>
      </c>
      <c r="K13" s="3" t="s">
        <v>45</v>
      </c>
      <c r="L13" s="3" t="s">
        <v>24</v>
      </c>
      <c r="M13" s="4">
        <v>46273</v>
      </c>
      <c r="N13" s="3">
        <v>44</v>
      </c>
      <c r="O13" s="3">
        <v>4</v>
      </c>
      <c r="P13" s="3">
        <v>510</v>
      </c>
      <c r="Q13" s="3" t="s">
        <v>11</v>
      </c>
    </row>
    <row r="14" spans="1:17" x14ac:dyDescent="0.35">
      <c r="A14" s="3" t="s">
        <v>40</v>
      </c>
      <c r="B14" s="3" t="s">
        <v>41</v>
      </c>
      <c r="C14" s="3" t="s">
        <v>17</v>
      </c>
      <c r="D14" s="4">
        <v>46272</v>
      </c>
      <c r="E14" s="3">
        <v>52</v>
      </c>
      <c r="F14" s="3">
        <v>3</v>
      </c>
      <c r="G14" s="3">
        <v>680</v>
      </c>
      <c r="H14" s="3" t="s">
        <v>18</v>
      </c>
      <c r="J14" s="3" t="s">
        <v>48</v>
      </c>
      <c r="K14" s="3" t="s">
        <v>49</v>
      </c>
      <c r="L14" s="3" t="s">
        <v>14</v>
      </c>
      <c r="M14" s="4">
        <v>46274</v>
      </c>
      <c r="N14" s="3">
        <v>24</v>
      </c>
      <c r="O14" s="3">
        <v>5</v>
      </c>
      <c r="P14" s="3">
        <v>780</v>
      </c>
      <c r="Q14" s="3" t="s">
        <v>11</v>
      </c>
    </row>
    <row r="15" spans="1:17" x14ac:dyDescent="0.35">
      <c r="A15" s="3" t="s">
        <v>42</v>
      </c>
      <c r="B15" s="3" t="s">
        <v>43</v>
      </c>
      <c r="C15" s="3" t="s">
        <v>21</v>
      </c>
      <c r="D15" s="4">
        <v>46272</v>
      </c>
      <c r="E15" s="3">
        <v>29</v>
      </c>
      <c r="F15" s="3">
        <v>5</v>
      </c>
      <c r="G15" s="3">
        <v>910</v>
      </c>
      <c r="H15" s="3" t="s">
        <v>11</v>
      </c>
      <c r="J15" s="3" t="s">
        <v>52</v>
      </c>
      <c r="K15" s="3" t="s">
        <v>53</v>
      </c>
      <c r="L15" s="3" t="s">
        <v>21</v>
      </c>
      <c r="M15" s="4">
        <v>46275</v>
      </c>
      <c r="N15" s="3">
        <v>31</v>
      </c>
      <c r="O15" s="3">
        <v>4</v>
      </c>
      <c r="P15" s="3">
        <v>560</v>
      </c>
      <c r="Q15" s="3" t="s">
        <v>11</v>
      </c>
    </row>
    <row r="16" spans="1:17" x14ac:dyDescent="0.35">
      <c r="A16" s="3" t="s">
        <v>44</v>
      </c>
      <c r="B16" s="3" t="s">
        <v>45</v>
      </c>
      <c r="C16" s="3" t="s">
        <v>24</v>
      </c>
      <c r="D16" s="4">
        <v>46273</v>
      </c>
      <c r="E16" s="3">
        <v>44</v>
      </c>
      <c r="F16" s="3">
        <v>4</v>
      </c>
      <c r="G16" s="3">
        <v>510</v>
      </c>
      <c r="H16" s="3" t="s">
        <v>11</v>
      </c>
      <c r="J16" s="3" t="s">
        <v>56</v>
      </c>
      <c r="K16" s="3" t="s">
        <v>57</v>
      </c>
      <c r="L16" s="3" t="s">
        <v>10</v>
      </c>
      <c r="M16" s="4">
        <v>46276</v>
      </c>
      <c r="N16" s="3">
        <v>26</v>
      </c>
      <c r="O16" s="3">
        <v>5</v>
      </c>
      <c r="P16" s="3">
        <v>690</v>
      </c>
      <c r="Q16" s="3" t="s">
        <v>11</v>
      </c>
    </row>
    <row r="17" spans="1:17" x14ac:dyDescent="0.35">
      <c r="A17" s="3" t="s">
        <v>46</v>
      </c>
      <c r="B17" s="3" t="s">
        <v>47</v>
      </c>
      <c r="C17" s="3" t="s">
        <v>10</v>
      </c>
      <c r="D17" s="4">
        <v>46273</v>
      </c>
      <c r="E17" s="3">
        <v>58</v>
      </c>
      <c r="F17" s="3">
        <v>3</v>
      </c>
      <c r="G17" s="3">
        <v>470</v>
      </c>
      <c r="H17" s="3" t="s">
        <v>18</v>
      </c>
      <c r="J17" s="3" t="s">
        <v>58</v>
      </c>
      <c r="K17" s="3" t="s">
        <v>59</v>
      </c>
      <c r="L17" s="3" t="s">
        <v>14</v>
      </c>
      <c r="M17" s="4">
        <v>46276</v>
      </c>
      <c r="N17" s="3">
        <v>40</v>
      </c>
      <c r="O17" s="3">
        <v>4</v>
      </c>
      <c r="P17" s="3">
        <v>575</v>
      </c>
      <c r="Q17" s="3" t="s">
        <v>11</v>
      </c>
    </row>
    <row r="18" spans="1:17" x14ac:dyDescent="0.35">
      <c r="A18" s="3" t="s">
        <v>48</v>
      </c>
      <c r="B18" s="3" t="s">
        <v>49</v>
      </c>
      <c r="C18" s="3" t="s">
        <v>14</v>
      </c>
      <c r="D18" s="4">
        <v>46274</v>
      </c>
      <c r="E18" s="3">
        <v>24</v>
      </c>
      <c r="F18" s="3">
        <v>5</v>
      </c>
      <c r="G18" s="3">
        <v>780</v>
      </c>
      <c r="H18" s="3" t="s">
        <v>11</v>
      </c>
      <c r="J18" s="3" t="s">
        <v>62</v>
      </c>
      <c r="K18" s="3" t="s">
        <v>63</v>
      </c>
      <c r="L18" s="3" t="s">
        <v>21</v>
      </c>
      <c r="M18" s="4">
        <v>46277</v>
      </c>
      <c r="N18" s="3">
        <v>23</v>
      </c>
      <c r="O18" s="3">
        <v>5</v>
      </c>
      <c r="P18" s="3">
        <v>880</v>
      </c>
      <c r="Q18" s="3" t="s">
        <v>11</v>
      </c>
    </row>
    <row r="19" spans="1:17" x14ac:dyDescent="0.35">
      <c r="A19" s="3" t="s">
        <v>50</v>
      </c>
      <c r="B19" s="3" t="s">
        <v>51</v>
      </c>
      <c r="C19" s="3" t="s">
        <v>17</v>
      </c>
      <c r="D19" s="4">
        <v>46274</v>
      </c>
      <c r="E19" s="3">
        <v>46</v>
      </c>
      <c r="F19" s="3">
        <v>4</v>
      </c>
      <c r="G19" s="3">
        <v>630</v>
      </c>
      <c r="H19" s="3" t="s">
        <v>18</v>
      </c>
      <c r="J19" s="3" t="s">
        <v>64</v>
      </c>
      <c r="K19" s="3" t="s">
        <v>65</v>
      </c>
      <c r="L19" s="3" t="s">
        <v>24</v>
      </c>
      <c r="M19" s="4">
        <v>46278</v>
      </c>
      <c r="N19" s="3">
        <v>36</v>
      </c>
      <c r="O19" s="3">
        <v>4</v>
      </c>
      <c r="P19" s="3">
        <v>525</v>
      </c>
      <c r="Q19" s="3" t="s">
        <v>11</v>
      </c>
    </row>
    <row r="20" spans="1:17" x14ac:dyDescent="0.35">
      <c r="A20" s="3" t="s">
        <v>52</v>
      </c>
      <c r="B20" s="3" t="s">
        <v>53</v>
      </c>
      <c r="C20" s="3" t="s">
        <v>21</v>
      </c>
      <c r="D20" s="4">
        <v>46275</v>
      </c>
      <c r="E20" s="3">
        <v>31</v>
      </c>
      <c r="F20" s="3">
        <v>4</v>
      </c>
      <c r="G20" s="3">
        <v>560</v>
      </c>
      <c r="H20" s="3" t="s">
        <v>11</v>
      </c>
      <c r="J20" s="3" t="s">
        <v>68</v>
      </c>
      <c r="K20" s="3" t="s">
        <v>69</v>
      </c>
      <c r="L20" s="3" t="s">
        <v>14</v>
      </c>
      <c r="M20" s="4">
        <v>46279</v>
      </c>
      <c r="N20" s="3">
        <v>29</v>
      </c>
      <c r="O20" s="3">
        <v>5</v>
      </c>
      <c r="P20" s="3">
        <v>810</v>
      </c>
      <c r="Q20" s="3" t="s">
        <v>11</v>
      </c>
    </row>
    <row r="21" spans="1:17" x14ac:dyDescent="0.35">
      <c r="A21" s="3" t="s">
        <v>54</v>
      </c>
      <c r="B21" s="3" t="s">
        <v>55</v>
      </c>
      <c r="C21" s="3" t="s">
        <v>24</v>
      </c>
      <c r="D21" s="4">
        <v>46275</v>
      </c>
      <c r="E21" s="3">
        <v>70</v>
      </c>
      <c r="F21" s="3">
        <v>2</v>
      </c>
      <c r="G21" s="3">
        <v>450</v>
      </c>
      <c r="H21" s="3" t="s">
        <v>35</v>
      </c>
      <c r="J21" s="3" t="s">
        <v>72</v>
      </c>
      <c r="K21" s="3" t="s">
        <v>73</v>
      </c>
      <c r="L21" s="3" t="s">
        <v>21</v>
      </c>
      <c r="M21" s="4">
        <v>46280</v>
      </c>
      <c r="N21" s="3">
        <v>34</v>
      </c>
      <c r="O21" s="3">
        <v>4</v>
      </c>
      <c r="P21" s="3">
        <v>540</v>
      </c>
      <c r="Q21" s="3" t="s">
        <v>11</v>
      </c>
    </row>
    <row r="22" spans="1:17" x14ac:dyDescent="0.35">
      <c r="A22" s="3" t="s">
        <v>56</v>
      </c>
      <c r="B22" s="3" t="s">
        <v>57</v>
      </c>
      <c r="C22" s="3" t="s">
        <v>10</v>
      </c>
      <c r="D22" s="4">
        <v>46276</v>
      </c>
      <c r="E22" s="3">
        <v>26</v>
      </c>
      <c r="F22" s="3">
        <v>5</v>
      </c>
      <c r="G22" s="3">
        <v>690</v>
      </c>
      <c r="H22" s="3" t="s">
        <v>11</v>
      </c>
    </row>
    <row r="23" spans="1:17" x14ac:dyDescent="0.35">
      <c r="A23" s="3" t="s">
        <v>58</v>
      </c>
      <c r="B23" s="3" t="s">
        <v>59</v>
      </c>
      <c r="C23" s="3" t="s">
        <v>14</v>
      </c>
      <c r="D23" s="4">
        <v>46276</v>
      </c>
      <c r="E23" s="3">
        <v>40</v>
      </c>
      <c r="F23" s="3">
        <v>4</v>
      </c>
      <c r="G23" s="3">
        <v>575</v>
      </c>
      <c r="H23" s="3" t="s">
        <v>11</v>
      </c>
    </row>
    <row r="24" spans="1:17" x14ac:dyDescent="0.35">
      <c r="A24" s="3" t="s">
        <v>60</v>
      </c>
      <c r="B24" s="3" t="s">
        <v>61</v>
      </c>
      <c r="C24" s="3" t="s">
        <v>17</v>
      </c>
      <c r="D24" s="4">
        <v>46277</v>
      </c>
      <c r="E24" s="3">
        <v>50</v>
      </c>
      <c r="F24" s="3">
        <v>3</v>
      </c>
      <c r="G24" s="3">
        <v>740</v>
      </c>
      <c r="H24" s="3" t="s">
        <v>18</v>
      </c>
    </row>
    <row r="25" spans="1:17" x14ac:dyDescent="0.35">
      <c r="A25" s="3" t="s">
        <v>62</v>
      </c>
      <c r="B25" s="3" t="s">
        <v>63</v>
      </c>
      <c r="C25" s="3" t="s">
        <v>21</v>
      </c>
      <c r="D25" s="4">
        <v>46277</v>
      </c>
      <c r="E25" s="3">
        <v>23</v>
      </c>
      <c r="F25" s="3">
        <v>5</v>
      </c>
      <c r="G25" s="3">
        <v>880</v>
      </c>
      <c r="H25" s="3" t="s">
        <v>11</v>
      </c>
    </row>
    <row r="26" spans="1:17" x14ac:dyDescent="0.35">
      <c r="A26" s="3" t="s">
        <v>64</v>
      </c>
      <c r="B26" s="3" t="s">
        <v>65</v>
      </c>
      <c r="C26" s="3" t="s">
        <v>24</v>
      </c>
      <c r="D26" s="4">
        <v>46278</v>
      </c>
      <c r="E26" s="3">
        <v>36</v>
      </c>
      <c r="F26" s="3">
        <v>4</v>
      </c>
      <c r="G26" s="3">
        <v>525</v>
      </c>
      <c r="H26" s="3" t="s">
        <v>11</v>
      </c>
    </row>
    <row r="27" spans="1:17" x14ac:dyDescent="0.35">
      <c r="A27" s="3" t="s">
        <v>66</v>
      </c>
      <c r="B27" s="3" t="s">
        <v>67</v>
      </c>
      <c r="C27" s="3" t="s">
        <v>10</v>
      </c>
      <c r="D27" s="4">
        <v>46278</v>
      </c>
      <c r="E27" s="3">
        <v>62</v>
      </c>
      <c r="F27" s="3">
        <v>2</v>
      </c>
      <c r="G27" s="3">
        <v>410</v>
      </c>
      <c r="H27" s="3" t="s">
        <v>18</v>
      </c>
    </row>
    <row r="28" spans="1:17" x14ac:dyDescent="0.35">
      <c r="A28" s="3" t="s">
        <v>68</v>
      </c>
      <c r="B28" s="3" t="s">
        <v>69</v>
      </c>
      <c r="C28" s="3" t="s">
        <v>14</v>
      </c>
      <c r="D28" s="4">
        <v>46279</v>
      </c>
      <c r="E28" s="3">
        <v>29</v>
      </c>
      <c r="F28" s="3">
        <v>5</v>
      </c>
      <c r="G28" s="3">
        <v>810</v>
      </c>
      <c r="H28" s="3" t="s">
        <v>11</v>
      </c>
    </row>
    <row r="29" spans="1:17" x14ac:dyDescent="0.35">
      <c r="A29" s="3" t="s">
        <v>70</v>
      </c>
      <c r="B29" s="3" t="s">
        <v>71</v>
      </c>
      <c r="C29" s="3" t="s">
        <v>17</v>
      </c>
      <c r="D29" s="4">
        <v>46279</v>
      </c>
      <c r="E29" s="3">
        <v>47</v>
      </c>
      <c r="F29" s="3">
        <v>3</v>
      </c>
      <c r="G29" s="3">
        <v>600</v>
      </c>
      <c r="H29" s="3" t="s">
        <v>18</v>
      </c>
    </row>
    <row r="30" spans="1:17" x14ac:dyDescent="0.35">
      <c r="A30" s="3" t="s">
        <v>72</v>
      </c>
      <c r="B30" s="3" t="s">
        <v>73</v>
      </c>
      <c r="C30" s="3" t="s">
        <v>21</v>
      </c>
      <c r="D30" s="4">
        <v>46280</v>
      </c>
      <c r="E30" s="3">
        <v>34</v>
      </c>
      <c r="F30" s="3">
        <v>4</v>
      </c>
      <c r="G30" s="3">
        <v>540</v>
      </c>
      <c r="H30" s="3" t="s">
        <v>11</v>
      </c>
    </row>
    <row r="31" spans="1:17" x14ac:dyDescent="0.35">
      <c r="A31" s="3" t="s">
        <v>74</v>
      </c>
      <c r="B31" s="3" t="s">
        <v>75</v>
      </c>
      <c r="C31" s="3" t="s">
        <v>24</v>
      </c>
      <c r="D31" s="4">
        <v>46280</v>
      </c>
      <c r="E31" s="3">
        <v>68</v>
      </c>
      <c r="F31" s="3">
        <v>2</v>
      </c>
      <c r="G31" s="3">
        <v>395</v>
      </c>
      <c r="H31" s="3" t="s">
        <v>35</v>
      </c>
    </row>
  </sheetData>
  <conditionalFormatting sqref="E1:E1048576">
    <cfRule type="cellIs" dxfId="7" priority="1" operator="greaterThan">
      <formula>45</formula>
    </cfRule>
    <cfRule type="cellIs" dxfId="6" priority="2" operator="between">
      <formula>31</formula>
      <formula>45</formula>
    </cfRule>
    <cfRule type="cellIs" dxfId="5" priority="3" operator="lessThan">
      <formula>30</formula>
    </cfRule>
  </conditionalFormatting>
  <dataValidations count="2">
    <dataValidation type="list" allowBlank="1" showInputMessage="1" showErrorMessage="1" sqref="C2:C31" xr:uid="{E3209D3A-A51D-463B-A647-0A6CFF60B3C6}">
      <formula1>"Indian,Chinese,Italian,Mexican,Fast Food"</formula1>
    </dataValidation>
    <dataValidation type="whole" allowBlank="1" showInputMessage="1" showErrorMessage="1" errorTitle="Invalid Rating" error="Rating must be a whole number between 1 and 5" promptTitle="Rating" prompt="Enter a rating between 1 and 5." sqref="F2:F31" xr:uid="{0E47BD04-B125-4BD7-99DA-7B366B01E43F}">
      <formula1>1</formula1>
      <formula2>5</formula2>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4498-41F3-424D-91B9-E965B832D00A}">
  <dimension ref="A1:H21"/>
  <sheetViews>
    <sheetView topLeftCell="A2" workbookViewId="0">
      <selection activeCell="J6" sqref="J6"/>
    </sheetView>
  </sheetViews>
  <sheetFormatPr defaultRowHeight="14.5" x14ac:dyDescent="0.35"/>
  <cols>
    <col min="1" max="1" width="10.1796875" customWidth="1"/>
    <col min="2" max="2" width="12.36328125" customWidth="1"/>
    <col min="4" max="4" width="12.36328125" customWidth="1"/>
  </cols>
  <sheetData>
    <row r="1" spans="1:8" x14ac:dyDescent="0.35">
      <c r="A1" t="s">
        <v>7</v>
      </c>
      <c r="B1" t="s">
        <v>77</v>
      </c>
      <c r="C1" t="s">
        <v>5</v>
      </c>
    </row>
    <row r="2" spans="1:8" x14ac:dyDescent="0.35">
      <c r="A2" t="s">
        <v>11</v>
      </c>
      <c r="B2" t="s">
        <v>78</v>
      </c>
      <c r="C2" t="s">
        <v>79</v>
      </c>
    </row>
    <row r="4" spans="1:8" x14ac:dyDescent="0.35">
      <c r="A4" s="5" t="s">
        <v>0</v>
      </c>
      <c r="B4" s="5" t="s">
        <v>1</v>
      </c>
      <c r="C4" s="5" t="s">
        <v>2</v>
      </c>
      <c r="D4" s="6" t="s">
        <v>3</v>
      </c>
      <c r="E4" s="5" t="s">
        <v>4</v>
      </c>
      <c r="F4" s="5" t="s">
        <v>5</v>
      </c>
      <c r="G4" s="5" t="s">
        <v>6</v>
      </c>
      <c r="H4" s="5" t="s">
        <v>7</v>
      </c>
    </row>
    <row r="5" spans="1:8" x14ac:dyDescent="0.35">
      <c r="A5" s="3" t="s">
        <v>8</v>
      </c>
      <c r="B5" s="3" t="s">
        <v>9</v>
      </c>
      <c r="C5" s="3" t="s">
        <v>10</v>
      </c>
      <c r="D5" s="4">
        <v>46266</v>
      </c>
      <c r="E5" s="3">
        <v>28</v>
      </c>
      <c r="F5" s="3">
        <v>5</v>
      </c>
      <c r="G5" s="3">
        <v>650</v>
      </c>
      <c r="H5" s="3" t="s">
        <v>11</v>
      </c>
    </row>
    <row r="6" spans="1:8" x14ac:dyDescent="0.35">
      <c r="A6" s="3" t="s">
        <v>19</v>
      </c>
      <c r="B6" s="3" t="s">
        <v>20</v>
      </c>
      <c r="C6" s="3" t="s">
        <v>21</v>
      </c>
      <c r="D6" s="4">
        <v>46267</v>
      </c>
      <c r="E6" s="3">
        <v>25</v>
      </c>
      <c r="F6" s="3">
        <v>5</v>
      </c>
      <c r="G6" s="3">
        <v>850</v>
      </c>
      <c r="H6" s="3" t="s">
        <v>11</v>
      </c>
    </row>
    <row r="7" spans="1:8" x14ac:dyDescent="0.35">
      <c r="A7" s="3" t="s">
        <v>22</v>
      </c>
      <c r="B7" s="3" t="s">
        <v>23</v>
      </c>
      <c r="C7" s="3" t="s">
        <v>24</v>
      </c>
      <c r="D7" s="4">
        <v>46268</v>
      </c>
      <c r="E7" s="3">
        <v>38</v>
      </c>
      <c r="F7" s="3">
        <v>4</v>
      </c>
      <c r="G7" s="3">
        <v>550</v>
      </c>
      <c r="H7" s="3" t="s">
        <v>11</v>
      </c>
    </row>
    <row r="8" spans="1:8" x14ac:dyDescent="0.35">
      <c r="A8" s="3" t="s">
        <v>27</v>
      </c>
      <c r="B8" s="3" t="s">
        <v>28</v>
      </c>
      <c r="C8" s="3" t="s">
        <v>14</v>
      </c>
      <c r="D8" s="4">
        <v>46269</v>
      </c>
      <c r="E8" s="3">
        <v>22</v>
      </c>
      <c r="F8" s="3">
        <v>5</v>
      </c>
      <c r="G8" s="3">
        <v>920</v>
      </c>
      <c r="H8" s="3" t="s">
        <v>11</v>
      </c>
    </row>
    <row r="9" spans="1:8" x14ac:dyDescent="0.35">
      <c r="A9" s="3" t="s">
        <v>31</v>
      </c>
      <c r="B9" s="3" t="s">
        <v>32</v>
      </c>
      <c r="C9" s="3" t="s">
        <v>21</v>
      </c>
      <c r="D9" s="4">
        <v>46270</v>
      </c>
      <c r="E9" s="3">
        <v>30</v>
      </c>
      <c r="F9" s="3">
        <v>4</v>
      </c>
      <c r="G9" s="3">
        <v>520</v>
      </c>
      <c r="H9" s="3" t="s">
        <v>11</v>
      </c>
    </row>
    <row r="10" spans="1:8" x14ac:dyDescent="0.35">
      <c r="A10" s="3" t="s">
        <v>36</v>
      </c>
      <c r="B10" s="3" t="s">
        <v>37</v>
      </c>
      <c r="C10" s="3" t="s">
        <v>10</v>
      </c>
      <c r="D10" s="4">
        <v>46271</v>
      </c>
      <c r="E10" s="3">
        <v>27</v>
      </c>
      <c r="F10" s="3">
        <v>5</v>
      </c>
      <c r="G10" s="3">
        <v>760</v>
      </c>
      <c r="H10" s="3" t="s">
        <v>11</v>
      </c>
    </row>
    <row r="11" spans="1:8" x14ac:dyDescent="0.35">
      <c r="A11" s="3" t="s">
        <v>38</v>
      </c>
      <c r="B11" s="3" t="s">
        <v>39</v>
      </c>
      <c r="C11" s="3" t="s">
        <v>14</v>
      </c>
      <c r="D11" s="4">
        <v>46271</v>
      </c>
      <c r="E11" s="3">
        <v>35</v>
      </c>
      <c r="F11" s="3">
        <v>4</v>
      </c>
      <c r="G11" s="3">
        <v>590</v>
      </c>
      <c r="H11" s="3" t="s">
        <v>11</v>
      </c>
    </row>
    <row r="12" spans="1:8" x14ac:dyDescent="0.35">
      <c r="A12" s="3" t="s">
        <v>42</v>
      </c>
      <c r="B12" s="3" t="s">
        <v>43</v>
      </c>
      <c r="C12" s="3" t="s">
        <v>21</v>
      </c>
      <c r="D12" s="4">
        <v>46272</v>
      </c>
      <c r="E12" s="3">
        <v>29</v>
      </c>
      <c r="F12" s="3">
        <v>5</v>
      </c>
      <c r="G12" s="3">
        <v>910</v>
      </c>
      <c r="H12" s="3" t="s">
        <v>11</v>
      </c>
    </row>
    <row r="13" spans="1:8" x14ac:dyDescent="0.35">
      <c r="A13" s="3" t="s">
        <v>44</v>
      </c>
      <c r="B13" s="3" t="s">
        <v>45</v>
      </c>
      <c r="C13" s="3" t="s">
        <v>24</v>
      </c>
      <c r="D13" s="4">
        <v>46273</v>
      </c>
      <c r="E13" s="3">
        <v>44</v>
      </c>
      <c r="F13" s="3">
        <v>4</v>
      </c>
      <c r="G13" s="3">
        <v>510</v>
      </c>
      <c r="H13" s="3" t="s">
        <v>11</v>
      </c>
    </row>
    <row r="14" spans="1:8" x14ac:dyDescent="0.35">
      <c r="A14" s="3" t="s">
        <v>48</v>
      </c>
      <c r="B14" s="3" t="s">
        <v>49</v>
      </c>
      <c r="C14" s="3" t="s">
        <v>14</v>
      </c>
      <c r="D14" s="4">
        <v>46274</v>
      </c>
      <c r="E14" s="3">
        <v>24</v>
      </c>
      <c r="F14" s="3">
        <v>5</v>
      </c>
      <c r="G14" s="3">
        <v>780</v>
      </c>
      <c r="H14" s="3" t="s">
        <v>11</v>
      </c>
    </row>
    <row r="15" spans="1:8" x14ac:dyDescent="0.35">
      <c r="A15" s="3" t="s">
        <v>52</v>
      </c>
      <c r="B15" s="3" t="s">
        <v>53</v>
      </c>
      <c r="C15" s="3" t="s">
        <v>21</v>
      </c>
      <c r="D15" s="4">
        <v>46275</v>
      </c>
      <c r="E15" s="3">
        <v>31</v>
      </c>
      <c r="F15" s="3">
        <v>4</v>
      </c>
      <c r="G15" s="3">
        <v>560</v>
      </c>
      <c r="H15" s="3" t="s">
        <v>11</v>
      </c>
    </row>
    <row r="16" spans="1:8" x14ac:dyDescent="0.35">
      <c r="A16" s="3" t="s">
        <v>56</v>
      </c>
      <c r="B16" s="3" t="s">
        <v>57</v>
      </c>
      <c r="C16" s="3" t="s">
        <v>10</v>
      </c>
      <c r="D16" s="4">
        <v>46276</v>
      </c>
      <c r="E16" s="3">
        <v>26</v>
      </c>
      <c r="F16" s="3">
        <v>5</v>
      </c>
      <c r="G16" s="3">
        <v>690</v>
      </c>
      <c r="H16" s="3" t="s">
        <v>11</v>
      </c>
    </row>
    <row r="17" spans="1:8" x14ac:dyDescent="0.35">
      <c r="A17" s="3" t="s">
        <v>58</v>
      </c>
      <c r="B17" s="3" t="s">
        <v>59</v>
      </c>
      <c r="C17" s="3" t="s">
        <v>14</v>
      </c>
      <c r="D17" s="4">
        <v>46276</v>
      </c>
      <c r="E17" s="3">
        <v>40</v>
      </c>
      <c r="F17" s="3">
        <v>4</v>
      </c>
      <c r="G17" s="3">
        <v>575</v>
      </c>
      <c r="H17" s="3" t="s">
        <v>11</v>
      </c>
    </row>
    <row r="18" spans="1:8" x14ac:dyDescent="0.35">
      <c r="A18" s="3" t="s">
        <v>62</v>
      </c>
      <c r="B18" s="3" t="s">
        <v>63</v>
      </c>
      <c r="C18" s="3" t="s">
        <v>21</v>
      </c>
      <c r="D18" s="4">
        <v>46277</v>
      </c>
      <c r="E18" s="3">
        <v>23</v>
      </c>
      <c r="F18" s="3">
        <v>5</v>
      </c>
      <c r="G18" s="3">
        <v>880</v>
      </c>
      <c r="H18" s="3" t="s">
        <v>11</v>
      </c>
    </row>
    <row r="19" spans="1:8" x14ac:dyDescent="0.35">
      <c r="A19" s="3" t="s">
        <v>64</v>
      </c>
      <c r="B19" s="3" t="s">
        <v>65</v>
      </c>
      <c r="C19" s="3" t="s">
        <v>24</v>
      </c>
      <c r="D19" s="4">
        <v>46278</v>
      </c>
      <c r="E19" s="3">
        <v>36</v>
      </c>
      <c r="F19" s="3">
        <v>4</v>
      </c>
      <c r="G19" s="3">
        <v>525</v>
      </c>
      <c r="H19" s="3" t="s">
        <v>11</v>
      </c>
    </row>
    <row r="20" spans="1:8" x14ac:dyDescent="0.35">
      <c r="A20" s="3" t="s">
        <v>68</v>
      </c>
      <c r="B20" s="3" t="s">
        <v>69</v>
      </c>
      <c r="C20" s="3" t="s">
        <v>14</v>
      </c>
      <c r="D20" s="4">
        <v>46279</v>
      </c>
      <c r="E20" s="3">
        <v>29</v>
      </c>
      <c r="F20" s="3">
        <v>5</v>
      </c>
      <c r="G20" s="3">
        <v>810</v>
      </c>
      <c r="H20" s="3" t="s">
        <v>11</v>
      </c>
    </row>
    <row r="21" spans="1:8" x14ac:dyDescent="0.35">
      <c r="A21" s="3" t="s">
        <v>72</v>
      </c>
      <c r="B21" s="3" t="s">
        <v>73</v>
      </c>
      <c r="C21" s="3" t="s">
        <v>21</v>
      </c>
      <c r="D21" s="4">
        <v>46280</v>
      </c>
      <c r="E21" s="3">
        <v>34</v>
      </c>
      <c r="F21" s="3">
        <v>4</v>
      </c>
      <c r="G21" s="3">
        <v>540</v>
      </c>
      <c r="H21" s="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F3C70-E9D7-4CB8-93C8-2DFB5DBF251F}">
  <dimension ref="A1:F16"/>
  <sheetViews>
    <sheetView workbookViewId="0">
      <selection activeCell="E22" sqref="E22"/>
    </sheetView>
  </sheetViews>
  <sheetFormatPr defaultRowHeight="14.5" x14ac:dyDescent="0.35"/>
  <cols>
    <col min="1" max="1" width="14.36328125" customWidth="1"/>
    <col min="2" max="2" width="18.08984375" customWidth="1"/>
    <col min="3" max="3" width="9.81640625" customWidth="1"/>
    <col min="4" max="4" width="11.7265625" customWidth="1"/>
    <col min="5" max="5" width="12.1796875" customWidth="1"/>
  </cols>
  <sheetData>
    <row r="1" spans="1:6" x14ac:dyDescent="0.35">
      <c r="A1" s="12" t="s">
        <v>118</v>
      </c>
      <c r="B1" s="12" t="s">
        <v>119</v>
      </c>
      <c r="C1" s="12" t="s">
        <v>120</v>
      </c>
      <c r="D1" s="12" t="s">
        <v>121</v>
      </c>
      <c r="E1" s="12" t="s">
        <v>122</v>
      </c>
      <c r="F1" s="11"/>
    </row>
    <row r="2" spans="1:6" x14ac:dyDescent="0.35">
      <c r="A2" s="3" t="s">
        <v>80</v>
      </c>
      <c r="B2" s="3" t="s">
        <v>81</v>
      </c>
      <c r="C2" s="3" t="s">
        <v>82</v>
      </c>
      <c r="D2" s="3" t="s">
        <v>83</v>
      </c>
      <c r="E2" s="3">
        <v>4.3</v>
      </c>
    </row>
    <row r="3" spans="1:6" x14ac:dyDescent="0.35">
      <c r="A3" s="3" t="s">
        <v>84</v>
      </c>
      <c r="B3" s="3" t="s">
        <v>85</v>
      </c>
      <c r="C3" s="3" t="s">
        <v>86</v>
      </c>
      <c r="D3" s="3" t="s">
        <v>87</v>
      </c>
      <c r="E3" s="3">
        <v>4.0999999999999996</v>
      </c>
    </row>
    <row r="4" spans="1:6" x14ac:dyDescent="0.35">
      <c r="A4" s="3" t="s">
        <v>88</v>
      </c>
      <c r="B4" s="3" t="s">
        <v>89</v>
      </c>
      <c r="C4" s="3" t="s">
        <v>90</v>
      </c>
      <c r="D4" s="3" t="s">
        <v>91</v>
      </c>
      <c r="E4" s="3">
        <v>4.5</v>
      </c>
    </row>
    <row r="5" spans="1:6" x14ac:dyDescent="0.35">
      <c r="A5" s="3" t="s">
        <v>92</v>
      </c>
      <c r="B5" s="3" t="s">
        <v>93</v>
      </c>
      <c r="C5" s="3" t="s">
        <v>94</v>
      </c>
      <c r="D5" s="3" t="s">
        <v>87</v>
      </c>
      <c r="E5" s="3">
        <v>4</v>
      </c>
    </row>
    <row r="6" spans="1:6" x14ac:dyDescent="0.35">
      <c r="A6" s="3" t="s">
        <v>95</v>
      </c>
      <c r="B6" s="3" t="s">
        <v>96</v>
      </c>
      <c r="C6" s="3" t="s">
        <v>97</v>
      </c>
      <c r="D6" s="3" t="s">
        <v>91</v>
      </c>
      <c r="E6" s="3">
        <v>4.4000000000000004</v>
      </c>
    </row>
    <row r="7" spans="1:6" x14ac:dyDescent="0.35">
      <c r="A7" s="3" t="s">
        <v>98</v>
      </c>
      <c r="B7" s="3" t="s">
        <v>99</v>
      </c>
      <c r="C7" s="3" t="s">
        <v>82</v>
      </c>
      <c r="D7" s="3" t="s">
        <v>87</v>
      </c>
      <c r="E7" s="3">
        <v>4.2</v>
      </c>
    </row>
    <row r="8" spans="1:6" x14ac:dyDescent="0.35">
      <c r="A8" s="3" t="s">
        <v>100</v>
      </c>
      <c r="B8" s="3" t="s">
        <v>101</v>
      </c>
      <c r="C8" s="3" t="s">
        <v>86</v>
      </c>
      <c r="D8" s="3" t="s">
        <v>91</v>
      </c>
      <c r="E8" s="3">
        <v>4</v>
      </c>
    </row>
    <row r="9" spans="1:6" x14ac:dyDescent="0.35">
      <c r="A9" s="3" t="s">
        <v>102</v>
      </c>
      <c r="B9" s="3" t="s">
        <v>103</v>
      </c>
      <c r="C9" s="3" t="s">
        <v>90</v>
      </c>
      <c r="D9" s="3" t="s">
        <v>83</v>
      </c>
      <c r="E9" s="3">
        <v>4.5999999999999996</v>
      </c>
    </row>
    <row r="10" spans="1:6" x14ac:dyDescent="0.35">
      <c r="A10" s="3" t="s">
        <v>104</v>
      </c>
      <c r="B10" s="3" t="s">
        <v>105</v>
      </c>
      <c r="C10" s="3" t="s">
        <v>94</v>
      </c>
      <c r="D10" s="3" t="s">
        <v>91</v>
      </c>
      <c r="E10" s="3">
        <v>4.0999999999999996</v>
      </c>
    </row>
    <row r="11" spans="1:6" x14ac:dyDescent="0.35">
      <c r="A11" s="3" t="s">
        <v>106</v>
      </c>
      <c r="B11" s="3" t="s">
        <v>107</v>
      </c>
      <c r="C11" s="3" t="s">
        <v>97</v>
      </c>
      <c r="D11" s="3" t="s">
        <v>87</v>
      </c>
      <c r="E11" s="3">
        <v>3.9</v>
      </c>
    </row>
    <row r="12" spans="1:6" x14ac:dyDescent="0.35">
      <c r="A12" s="3" t="s">
        <v>108</v>
      </c>
      <c r="B12" s="3" t="s">
        <v>109</v>
      </c>
      <c r="C12" s="3" t="s">
        <v>82</v>
      </c>
      <c r="D12" s="3" t="s">
        <v>91</v>
      </c>
      <c r="E12" s="3">
        <v>4.5</v>
      </c>
    </row>
    <row r="13" spans="1:6" x14ac:dyDescent="0.35">
      <c r="A13" s="3" t="s">
        <v>110</v>
      </c>
      <c r="B13" s="3" t="s">
        <v>111</v>
      </c>
      <c r="C13" s="3" t="s">
        <v>86</v>
      </c>
      <c r="D13" s="3" t="s">
        <v>83</v>
      </c>
      <c r="E13" s="3">
        <v>4.2</v>
      </c>
    </row>
    <row r="14" spans="1:6" x14ac:dyDescent="0.35">
      <c r="A14" s="3" t="s">
        <v>112</v>
      </c>
      <c r="B14" s="3" t="s">
        <v>113</v>
      </c>
      <c r="C14" s="3" t="s">
        <v>90</v>
      </c>
      <c r="D14" s="3" t="s">
        <v>87</v>
      </c>
      <c r="E14" s="3">
        <v>4.3</v>
      </c>
    </row>
    <row r="15" spans="1:6" x14ac:dyDescent="0.35">
      <c r="A15" s="3" t="s">
        <v>114</v>
      </c>
      <c r="B15" s="3" t="s">
        <v>115</v>
      </c>
      <c r="C15" s="3" t="s">
        <v>94</v>
      </c>
      <c r="D15" s="3" t="s">
        <v>83</v>
      </c>
      <c r="E15" s="3">
        <v>4</v>
      </c>
    </row>
    <row r="16" spans="1:6" x14ac:dyDescent="0.35">
      <c r="A16" s="3" t="s">
        <v>116</v>
      </c>
      <c r="B16" s="3" t="s">
        <v>117</v>
      </c>
      <c r="C16" s="3" t="s">
        <v>97</v>
      </c>
      <c r="D16" s="3" t="s">
        <v>91</v>
      </c>
      <c r="E16" s="3">
        <v>4.4000000000000004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7A68D-0D27-4589-9261-BE65381C5FB5}">
  <dimension ref="A1:L16"/>
  <sheetViews>
    <sheetView workbookViewId="0">
      <selection activeCell="K12" sqref="K12"/>
    </sheetView>
  </sheetViews>
  <sheetFormatPr defaultRowHeight="14.5" x14ac:dyDescent="0.35"/>
  <cols>
    <col min="1" max="1" width="10" customWidth="1"/>
    <col min="2" max="2" width="14.81640625" customWidth="1"/>
    <col min="3" max="3" width="13.26953125" customWidth="1"/>
    <col min="4" max="4" width="11.6328125" customWidth="1"/>
    <col min="5" max="6" width="14.54296875" customWidth="1"/>
    <col min="7" max="7" width="12.81640625" customWidth="1"/>
    <col min="8" max="8" width="18.81640625" customWidth="1"/>
    <col min="12" max="12" width="10.36328125" customWidth="1"/>
  </cols>
  <sheetData>
    <row r="1" spans="1:12" ht="29" x14ac:dyDescent="0.35">
      <c r="A1" s="13" t="s">
        <v>123</v>
      </c>
      <c r="B1" s="13" t="s">
        <v>124</v>
      </c>
      <c r="C1" s="13" t="s">
        <v>125</v>
      </c>
      <c r="D1" s="13" t="s">
        <v>126</v>
      </c>
      <c r="E1" s="13" t="s">
        <v>127</v>
      </c>
      <c r="F1" s="13" t="s">
        <v>128</v>
      </c>
      <c r="G1" s="13" t="s">
        <v>129</v>
      </c>
      <c r="H1" s="13" t="s">
        <v>119</v>
      </c>
      <c r="I1" s="13" t="s">
        <v>145</v>
      </c>
      <c r="K1" s="18" t="s">
        <v>145</v>
      </c>
      <c r="L1" s="19" t="s">
        <v>146</v>
      </c>
    </row>
    <row r="2" spans="1:12" x14ac:dyDescent="0.35">
      <c r="A2" t="s">
        <v>130</v>
      </c>
      <c r="B2" t="s">
        <v>80</v>
      </c>
      <c r="C2" s="1">
        <v>46266</v>
      </c>
      <c r="D2" t="s">
        <v>10</v>
      </c>
      <c r="E2">
        <v>650</v>
      </c>
      <c r="F2">
        <v>28</v>
      </c>
      <c r="G2" t="s">
        <v>11</v>
      </c>
      <c r="H2" t="str">
        <f>_xlfn.XLOOKUP(B2,Restaurants!$A$2:$A$16,Restaurants!$B$2:$B$16,"Not Listed")</f>
        <v>Spice Hub</v>
      </c>
      <c r="I2" t="str">
        <f>INDEX(Restaurants!$C$2:$C$16,MATCH(B2,Restaurants!$A$2:$A$16,0))</f>
        <v>North</v>
      </c>
      <c r="K2" s="20" t="s">
        <v>82</v>
      </c>
      <c r="L2" s="21">
        <f>AVERAGEIF($I$2:$I$16,K2,$E$2:$E$16)</f>
        <v>613.33333333333337</v>
      </c>
    </row>
    <row r="3" spans="1:12" x14ac:dyDescent="0.35">
      <c r="A3" t="s">
        <v>131</v>
      </c>
      <c r="B3" t="s">
        <v>84</v>
      </c>
      <c r="C3" s="1">
        <v>46267</v>
      </c>
      <c r="D3" t="s">
        <v>14</v>
      </c>
      <c r="E3">
        <v>480</v>
      </c>
      <c r="F3">
        <v>42</v>
      </c>
      <c r="G3" t="s">
        <v>11</v>
      </c>
      <c r="H3" t="str">
        <f>_xlfn.XLOOKUP(B3,Restaurants!$A$2:$A$16,Restaurants!$B$2:$B$16,"Not Listed")</f>
        <v>Dragon Bowl</v>
      </c>
      <c r="I3" t="str">
        <f>INDEX(Restaurants!$C$2:$C$16,MATCH(B3,Restaurants!$A$2:$A$16,0))</f>
        <v>South</v>
      </c>
      <c r="K3" s="20" t="s">
        <v>86</v>
      </c>
      <c r="L3" s="21">
        <f t="shared" ref="L3:L6" si="0">AVERAGEIF($I$2:$I$16,K3,$E$2:$E$16)</f>
        <v>560</v>
      </c>
    </row>
    <row r="4" spans="1:12" x14ac:dyDescent="0.35">
      <c r="A4" t="s">
        <v>132</v>
      </c>
      <c r="B4" t="s">
        <v>88</v>
      </c>
      <c r="C4" s="1">
        <v>46268</v>
      </c>
      <c r="D4" t="s">
        <v>17</v>
      </c>
      <c r="E4">
        <v>720</v>
      </c>
      <c r="F4">
        <v>35</v>
      </c>
      <c r="G4" t="s">
        <v>11</v>
      </c>
      <c r="H4" t="str">
        <f>_xlfn.XLOOKUP(B4,Restaurants!$A$2:$A$16,Restaurants!$B$2:$B$16,"Not Listed")</f>
        <v>Pasta Point</v>
      </c>
      <c r="I4" t="str">
        <f>INDEX(Restaurants!$C$2:$C$16,MATCH(B4,Restaurants!$A$2:$A$16,0))</f>
        <v>East</v>
      </c>
      <c r="K4" s="20" t="s">
        <v>90</v>
      </c>
      <c r="L4" s="21">
        <f t="shared" si="0"/>
        <v>763.33333333333337</v>
      </c>
    </row>
    <row r="5" spans="1:12" x14ac:dyDescent="0.35">
      <c r="A5" t="s">
        <v>133</v>
      </c>
      <c r="B5" t="s">
        <v>92</v>
      </c>
      <c r="C5" s="1">
        <v>46269</v>
      </c>
      <c r="D5" t="s">
        <v>21</v>
      </c>
      <c r="E5">
        <v>550</v>
      </c>
      <c r="F5">
        <v>48</v>
      </c>
      <c r="G5" t="s">
        <v>18</v>
      </c>
      <c r="H5" t="str">
        <f>_xlfn.XLOOKUP(B5,Restaurants!$A$2:$A$16,Restaurants!$B$2:$B$16,"Not Listed")</f>
        <v>Taco Town</v>
      </c>
      <c r="I5" t="str">
        <f>INDEX(Restaurants!$C$2:$C$16,MATCH(B5,Restaurants!$A$2:$A$16,0))</f>
        <v>West</v>
      </c>
      <c r="K5" s="20" t="s">
        <v>94</v>
      </c>
      <c r="L5" s="21">
        <f t="shared" si="0"/>
        <v>503.33333333333331</v>
      </c>
    </row>
    <row r="6" spans="1:12" ht="15" thickBot="1" x14ac:dyDescent="0.4">
      <c r="A6" t="s">
        <v>134</v>
      </c>
      <c r="B6" t="s">
        <v>95</v>
      </c>
      <c r="C6" s="1">
        <v>46270</v>
      </c>
      <c r="D6" t="s">
        <v>10</v>
      </c>
      <c r="E6">
        <v>810</v>
      </c>
      <c r="F6">
        <v>30</v>
      </c>
      <c r="G6" t="s">
        <v>11</v>
      </c>
      <c r="H6" t="str">
        <f>_xlfn.XLOOKUP(B6,Restaurants!$A$2:$A$16,Restaurants!$B$2:$B$16,"Not Listed")</f>
        <v>Curry House</v>
      </c>
      <c r="I6" t="str">
        <f>INDEX(Restaurants!$C$2:$C$16,MATCH(B6,Restaurants!$A$2:$A$16,0))</f>
        <v>Central</v>
      </c>
      <c r="K6" s="22" t="s">
        <v>97</v>
      </c>
      <c r="L6" s="23">
        <f t="shared" si="0"/>
        <v>633.33333333333337</v>
      </c>
    </row>
    <row r="7" spans="1:12" x14ac:dyDescent="0.35">
      <c r="A7" t="s">
        <v>135</v>
      </c>
      <c r="B7" t="s">
        <v>98</v>
      </c>
      <c r="C7" s="1">
        <v>46271</v>
      </c>
      <c r="D7" t="s">
        <v>10</v>
      </c>
      <c r="E7">
        <v>430</v>
      </c>
      <c r="F7">
        <v>38</v>
      </c>
      <c r="G7" t="s">
        <v>11</v>
      </c>
      <c r="H7" t="str">
        <f>_xlfn.XLOOKUP(B7,Restaurants!$A$2:$A$16,Restaurants!$B$2:$B$16,"Not Listed")</f>
        <v>Desi Zaika</v>
      </c>
      <c r="I7" t="str">
        <f>INDEX(Restaurants!$C$2:$C$16,MATCH(B7,Restaurants!$A$2:$A$16,0))</f>
        <v>North</v>
      </c>
    </row>
    <row r="8" spans="1:12" x14ac:dyDescent="0.35">
      <c r="A8" t="s">
        <v>136</v>
      </c>
      <c r="B8" t="s">
        <v>100</v>
      </c>
      <c r="C8" s="1">
        <v>46272</v>
      </c>
      <c r="D8" t="s">
        <v>14</v>
      </c>
      <c r="E8">
        <v>620</v>
      </c>
      <c r="F8">
        <v>45</v>
      </c>
      <c r="G8" t="s">
        <v>11</v>
      </c>
      <c r="H8" t="str">
        <f>_xlfn.XLOOKUP(B8,Restaurants!$A$2:$A$16,Restaurants!$B$2:$B$16,"Not Listed")</f>
        <v>China Garden</v>
      </c>
      <c r="I8" t="str">
        <f>INDEX(Restaurants!$C$2:$C$16,MATCH(B8,Restaurants!$A$2:$A$16,0))</f>
        <v>South</v>
      </c>
    </row>
    <row r="9" spans="1:12" x14ac:dyDescent="0.35">
      <c r="A9" t="s">
        <v>137</v>
      </c>
      <c r="B9" t="s">
        <v>102</v>
      </c>
      <c r="C9" s="1">
        <v>46273</v>
      </c>
      <c r="D9" t="s">
        <v>17</v>
      </c>
      <c r="E9">
        <v>900</v>
      </c>
      <c r="F9">
        <v>32</v>
      </c>
      <c r="G9" t="s">
        <v>11</v>
      </c>
      <c r="H9" t="str">
        <f>_xlfn.XLOOKUP(B9,Restaurants!$A$2:$A$16,Restaurants!$B$2:$B$16,"Not Listed")</f>
        <v>Italiano</v>
      </c>
      <c r="I9" t="str">
        <f>INDEX(Restaurants!$C$2:$C$16,MATCH(B9,Restaurants!$A$2:$A$16,0))</f>
        <v>East</v>
      </c>
    </row>
    <row r="10" spans="1:12" x14ac:dyDescent="0.35">
      <c r="A10" t="s">
        <v>138</v>
      </c>
      <c r="B10" t="s">
        <v>104</v>
      </c>
      <c r="C10" s="1">
        <v>46274</v>
      </c>
      <c r="D10" t="s">
        <v>21</v>
      </c>
      <c r="E10">
        <v>510</v>
      </c>
      <c r="F10">
        <v>55</v>
      </c>
      <c r="G10" t="s">
        <v>18</v>
      </c>
      <c r="H10" t="str">
        <f>_xlfn.XLOOKUP(B10,Restaurants!$A$2:$A$16,Restaurants!$B$2:$B$16,"Not Listed")</f>
        <v>Mexican Grill</v>
      </c>
      <c r="I10" t="str">
        <f>INDEX(Restaurants!$C$2:$C$16,MATCH(B10,Restaurants!$A$2:$A$16,0))</f>
        <v>West</v>
      </c>
    </row>
    <row r="11" spans="1:12" x14ac:dyDescent="0.35">
      <c r="A11" t="s">
        <v>139</v>
      </c>
      <c r="B11" t="s">
        <v>106</v>
      </c>
      <c r="C11" s="1">
        <v>46275</v>
      </c>
      <c r="D11" t="s">
        <v>24</v>
      </c>
      <c r="E11">
        <v>390</v>
      </c>
      <c r="F11">
        <v>25</v>
      </c>
      <c r="G11" t="s">
        <v>11</v>
      </c>
      <c r="H11" t="str">
        <f>_xlfn.XLOOKUP(B11,Restaurants!$A$2:$A$16,Restaurants!$B$2:$B$16,"Not Listed")</f>
        <v>Food Factory</v>
      </c>
      <c r="I11" t="str">
        <f>INDEX(Restaurants!$C$2:$C$16,MATCH(B11,Restaurants!$A$2:$A$16,0))</f>
        <v>Central</v>
      </c>
    </row>
    <row r="12" spans="1:12" x14ac:dyDescent="0.35">
      <c r="A12" t="s">
        <v>140</v>
      </c>
      <c r="B12" t="s">
        <v>108</v>
      </c>
      <c r="C12" s="1">
        <v>46276</v>
      </c>
      <c r="D12" t="s">
        <v>10</v>
      </c>
      <c r="E12">
        <v>760</v>
      </c>
      <c r="F12">
        <v>29</v>
      </c>
      <c r="G12" t="s">
        <v>11</v>
      </c>
      <c r="H12" t="str">
        <f>_xlfn.XLOOKUP(B12,Restaurants!$A$2:$A$16,Restaurants!$B$2:$B$16,"Not Listed")</f>
        <v>Punjabi Tadka</v>
      </c>
      <c r="I12" t="str">
        <f>INDEX(Restaurants!$C$2:$C$16,MATCH(B12,Restaurants!$A$2:$A$16,0))</f>
        <v>North</v>
      </c>
    </row>
    <row r="13" spans="1:12" x14ac:dyDescent="0.35">
      <c r="A13" t="s">
        <v>141</v>
      </c>
      <c r="B13" t="s">
        <v>110</v>
      </c>
      <c r="C13" s="1">
        <v>46277</v>
      </c>
      <c r="D13" t="s">
        <v>14</v>
      </c>
      <c r="E13">
        <v>580</v>
      </c>
      <c r="F13">
        <v>41</v>
      </c>
      <c r="G13" t="s">
        <v>11</v>
      </c>
      <c r="H13" t="str">
        <f>_xlfn.XLOOKUP(B13,Restaurants!$A$2:$A$16,Restaurants!$B$2:$B$16,"Not Listed")</f>
        <v>Wok Express</v>
      </c>
      <c r="I13" t="str">
        <f>INDEX(Restaurants!$C$2:$C$16,MATCH(B13,Restaurants!$A$2:$A$16,0))</f>
        <v>South</v>
      </c>
    </row>
    <row r="14" spans="1:12" x14ac:dyDescent="0.35">
      <c r="A14" t="s">
        <v>142</v>
      </c>
      <c r="B14" t="s">
        <v>112</v>
      </c>
      <c r="C14" s="1">
        <v>46278</v>
      </c>
      <c r="D14" t="s">
        <v>17</v>
      </c>
      <c r="E14">
        <v>670</v>
      </c>
      <c r="F14">
        <v>34</v>
      </c>
      <c r="G14" t="s">
        <v>11</v>
      </c>
      <c r="H14" t="str">
        <f>_xlfn.XLOOKUP(B14,Restaurants!$A$2:$A$16,Restaurants!$B$2:$B$16,"Not Listed")</f>
        <v>Pizza Corner</v>
      </c>
      <c r="I14" t="str">
        <f>INDEX(Restaurants!$C$2:$C$16,MATCH(B14,Restaurants!$A$2:$A$16,0))</f>
        <v>East</v>
      </c>
    </row>
    <row r="15" spans="1:12" x14ac:dyDescent="0.35">
      <c r="A15" t="s">
        <v>143</v>
      </c>
      <c r="B15" t="s">
        <v>114</v>
      </c>
      <c r="C15" s="1">
        <v>46279</v>
      </c>
      <c r="D15" t="s">
        <v>21</v>
      </c>
      <c r="E15">
        <v>450</v>
      </c>
      <c r="F15">
        <v>50</v>
      </c>
      <c r="G15" t="s">
        <v>18</v>
      </c>
      <c r="H15" t="str">
        <f>_xlfn.XLOOKUP(B15,Restaurants!$A$2:$A$16,Restaurants!$B$2:$B$16,"Not Listed")</f>
        <v>Burrito House</v>
      </c>
      <c r="I15" t="str">
        <f>INDEX(Restaurants!$C$2:$C$16,MATCH(B15,Restaurants!$A$2:$A$16,0))</f>
        <v>West</v>
      </c>
    </row>
    <row r="16" spans="1:12" x14ac:dyDescent="0.35">
      <c r="A16" t="s">
        <v>144</v>
      </c>
      <c r="B16" t="s">
        <v>116</v>
      </c>
      <c r="C16" s="1">
        <v>46280</v>
      </c>
      <c r="D16" t="s">
        <v>10</v>
      </c>
      <c r="E16">
        <v>700</v>
      </c>
      <c r="F16">
        <v>27</v>
      </c>
      <c r="G16" t="s">
        <v>11</v>
      </c>
      <c r="H16" t="str">
        <f>_xlfn.XLOOKUP(B16,Restaurants!$A$2:$A$16,Restaurants!$B$2:$B$16,"Not Listed")</f>
        <v>Ahmedabad Bites</v>
      </c>
      <c r="I16" t="str">
        <f>INDEX(Restaurants!$C$2:$C$16,MATCH(B16,Restaurants!$A$2:$A$16,0))</f>
        <v>Central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572F1-4255-4A98-A4AD-4E3A319DE9D5}">
  <dimension ref="A1:G51"/>
  <sheetViews>
    <sheetView workbookViewId="0">
      <selection activeCell="H42" sqref="H42"/>
    </sheetView>
  </sheetViews>
  <sheetFormatPr defaultRowHeight="14.5" x14ac:dyDescent="0.35"/>
  <cols>
    <col min="1" max="1" width="12.1796875" customWidth="1"/>
    <col min="2" max="2" width="12.54296875" customWidth="1"/>
    <col min="3" max="3" width="11.7265625" customWidth="1"/>
    <col min="4" max="4" width="12.1796875" customWidth="1"/>
    <col min="5" max="5" width="14.54296875" customWidth="1"/>
    <col min="6" max="6" width="12.6328125" customWidth="1"/>
  </cols>
  <sheetData>
    <row r="1" spans="1:7" x14ac:dyDescent="0.35">
      <c r="A1" s="24" t="s">
        <v>147</v>
      </c>
      <c r="B1" s="24" t="s">
        <v>126</v>
      </c>
      <c r="C1" s="24" t="s">
        <v>148</v>
      </c>
      <c r="D1" s="24" t="s">
        <v>149</v>
      </c>
      <c r="E1" s="24" t="s">
        <v>128</v>
      </c>
      <c r="F1" s="24" t="s">
        <v>129</v>
      </c>
      <c r="G1" s="24" t="s">
        <v>160</v>
      </c>
    </row>
    <row r="2" spans="1:7" x14ac:dyDescent="0.35">
      <c r="A2" s="1">
        <v>46204</v>
      </c>
      <c r="B2" t="s">
        <v>10</v>
      </c>
      <c r="C2" t="s">
        <v>82</v>
      </c>
      <c r="D2">
        <v>620</v>
      </c>
      <c r="E2">
        <v>28</v>
      </c>
      <c r="F2" t="s">
        <v>11</v>
      </c>
      <c r="G2">
        <f>1</f>
        <v>1</v>
      </c>
    </row>
    <row r="3" spans="1:7" x14ac:dyDescent="0.35">
      <c r="A3" s="1">
        <v>46205</v>
      </c>
      <c r="B3" t="s">
        <v>14</v>
      </c>
      <c r="C3" t="s">
        <v>86</v>
      </c>
      <c r="D3">
        <v>480</v>
      </c>
      <c r="E3">
        <v>42</v>
      </c>
      <c r="F3" t="s">
        <v>11</v>
      </c>
      <c r="G3">
        <f>1</f>
        <v>1</v>
      </c>
    </row>
    <row r="4" spans="1:7" x14ac:dyDescent="0.35">
      <c r="A4" s="1">
        <v>46206</v>
      </c>
      <c r="B4" t="s">
        <v>17</v>
      </c>
      <c r="C4" t="s">
        <v>90</v>
      </c>
      <c r="D4">
        <v>750</v>
      </c>
      <c r="E4">
        <v>35</v>
      </c>
      <c r="F4" t="s">
        <v>11</v>
      </c>
      <c r="G4">
        <f>1</f>
        <v>1</v>
      </c>
    </row>
    <row r="5" spans="1:7" x14ac:dyDescent="0.35">
      <c r="A5" s="1">
        <v>46207</v>
      </c>
      <c r="B5" t="s">
        <v>21</v>
      </c>
      <c r="C5" t="s">
        <v>94</v>
      </c>
      <c r="D5">
        <v>540</v>
      </c>
      <c r="E5">
        <v>48</v>
      </c>
      <c r="F5" t="s">
        <v>18</v>
      </c>
      <c r="G5">
        <f>1</f>
        <v>1</v>
      </c>
    </row>
    <row r="6" spans="1:7" x14ac:dyDescent="0.35">
      <c r="A6" s="1">
        <v>46208</v>
      </c>
      <c r="B6" t="s">
        <v>24</v>
      </c>
      <c r="C6" t="s">
        <v>97</v>
      </c>
      <c r="D6">
        <v>390</v>
      </c>
      <c r="E6">
        <v>25</v>
      </c>
      <c r="F6" t="s">
        <v>11</v>
      </c>
      <c r="G6">
        <f>1</f>
        <v>1</v>
      </c>
    </row>
    <row r="7" spans="1:7" x14ac:dyDescent="0.35">
      <c r="A7" s="1">
        <v>46209</v>
      </c>
      <c r="B7" t="s">
        <v>10</v>
      </c>
      <c r="C7" t="s">
        <v>86</v>
      </c>
      <c r="D7">
        <v>680</v>
      </c>
      <c r="E7">
        <v>31</v>
      </c>
      <c r="F7" t="s">
        <v>11</v>
      </c>
      <c r="G7">
        <f>1</f>
        <v>1</v>
      </c>
    </row>
    <row r="8" spans="1:7" x14ac:dyDescent="0.35">
      <c r="A8" s="1">
        <v>46210</v>
      </c>
      <c r="B8" t="s">
        <v>14</v>
      </c>
      <c r="C8" t="s">
        <v>90</v>
      </c>
      <c r="D8">
        <v>520</v>
      </c>
      <c r="E8">
        <v>44</v>
      </c>
      <c r="F8" t="s">
        <v>11</v>
      </c>
      <c r="G8">
        <f>1</f>
        <v>1</v>
      </c>
    </row>
    <row r="9" spans="1:7" x14ac:dyDescent="0.35">
      <c r="A9" s="1">
        <v>46211</v>
      </c>
      <c r="B9" t="s">
        <v>17</v>
      </c>
      <c r="C9" t="s">
        <v>82</v>
      </c>
      <c r="D9">
        <v>810</v>
      </c>
      <c r="E9">
        <v>29</v>
      </c>
      <c r="F9" t="s">
        <v>11</v>
      </c>
      <c r="G9">
        <f>1</f>
        <v>1</v>
      </c>
    </row>
    <row r="10" spans="1:7" x14ac:dyDescent="0.35">
      <c r="A10" s="1">
        <v>46212</v>
      </c>
      <c r="B10" t="s">
        <v>21</v>
      </c>
      <c r="C10" t="s">
        <v>97</v>
      </c>
      <c r="D10">
        <v>460</v>
      </c>
      <c r="E10">
        <v>51</v>
      </c>
      <c r="F10" t="s">
        <v>18</v>
      </c>
      <c r="G10">
        <f>1</f>
        <v>1</v>
      </c>
    </row>
    <row r="11" spans="1:7" x14ac:dyDescent="0.35">
      <c r="A11" s="1">
        <v>46213</v>
      </c>
      <c r="B11" t="s">
        <v>24</v>
      </c>
      <c r="C11" t="s">
        <v>94</v>
      </c>
      <c r="D11">
        <v>420</v>
      </c>
      <c r="E11">
        <v>37</v>
      </c>
      <c r="F11" t="s">
        <v>11</v>
      </c>
      <c r="G11">
        <f>1</f>
        <v>1</v>
      </c>
    </row>
    <row r="12" spans="1:7" x14ac:dyDescent="0.35">
      <c r="A12" s="1">
        <v>46214</v>
      </c>
      <c r="B12" t="s">
        <v>10</v>
      </c>
      <c r="C12" t="s">
        <v>90</v>
      </c>
      <c r="D12">
        <v>700</v>
      </c>
      <c r="E12">
        <v>33</v>
      </c>
      <c r="F12" t="s">
        <v>11</v>
      </c>
      <c r="G12">
        <f>1</f>
        <v>1</v>
      </c>
    </row>
    <row r="13" spans="1:7" x14ac:dyDescent="0.35">
      <c r="A13" s="1">
        <v>46215</v>
      </c>
      <c r="B13" t="s">
        <v>14</v>
      </c>
      <c r="C13" t="s">
        <v>82</v>
      </c>
      <c r="D13">
        <v>560</v>
      </c>
      <c r="E13">
        <v>39</v>
      </c>
      <c r="F13" t="s">
        <v>11</v>
      </c>
      <c r="G13">
        <f>1</f>
        <v>1</v>
      </c>
    </row>
    <row r="14" spans="1:7" x14ac:dyDescent="0.35">
      <c r="A14" s="1">
        <v>46216</v>
      </c>
      <c r="B14" t="s">
        <v>17</v>
      </c>
      <c r="C14" t="s">
        <v>86</v>
      </c>
      <c r="D14">
        <v>920</v>
      </c>
      <c r="E14">
        <v>30</v>
      </c>
      <c r="F14" t="s">
        <v>11</v>
      </c>
      <c r="G14">
        <f>1</f>
        <v>1</v>
      </c>
    </row>
    <row r="15" spans="1:7" x14ac:dyDescent="0.35">
      <c r="A15" s="1">
        <v>46217</v>
      </c>
      <c r="B15" t="s">
        <v>21</v>
      </c>
      <c r="C15" t="s">
        <v>97</v>
      </c>
      <c r="D15">
        <v>510</v>
      </c>
      <c r="E15">
        <v>46</v>
      </c>
      <c r="F15" t="s">
        <v>18</v>
      </c>
      <c r="G15">
        <f>1</f>
        <v>1</v>
      </c>
    </row>
    <row r="16" spans="1:7" x14ac:dyDescent="0.35">
      <c r="A16" s="1">
        <v>46218</v>
      </c>
      <c r="B16" t="s">
        <v>24</v>
      </c>
      <c r="C16" t="s">
        <v>94</v>
      </c>
      <c r="D16">
        <v>350</v>
      </c>
      <c r="E16">
        <v>27</v>
      </c>
      <c r="F16" t="s">
        <v>11</v>
      </c>
      <c r="G16">
        <f>1</f>
        <v>1</v>
      </c>
    </row>
    <row r="17" spans="1:7" x14ac:dyDescent="0.35">
      <c r="A17" s="1">
        <v>46219</v>
      </c>
      <c r="B17" t="s">
        <v>10</v>
      </c>
      <c r="C17" t="s">
        <v>82</v>
      </c>
      <c r="D17">
        <v>640</v>
      </c>
      <c r="E17">
        <v>32</v>
      </c>
      <c r="F17" t="s">
        <v>11</v>
      </c>
      <c r="G17">
        <f>1</f>
        <v>1</v>
      </c>
    </row>
    <row r="18" spans="1:7" x14ac:dyDescent="0.35">
      <c r="A18" s="1">
        <v>46220</v>
      </c>
      <c r="B18" t="s">
        <v>14</v>
      </c>
      <c r="C18" t="s">
        <v>86</v>
      </c>
      <c r="D18">
        <v>590</v>
      </c>
      <c r="E18">
        <v>41</v>
      </c>
      <c r="F18" t="s">
        <v>11</v>
      </c>
      <c r="G18">
        <f>1</f>
        <v>1</v>
      </c>
    </row>
    <row r="19" spans="1:7" x14ac:dyDescent="0.35">
      <c r="A19" s="1">
        <v>46221</v>
      </c>
      <c r="B19" t="s">
        <v>17</v>
      </c>
      <c r="C19" t="s">
        <v>90</v>
      </c>
      <c r="D19">
        <v>780</v>
      </c>
      <c r="E19">
        <v>34</v>
      </c>
      <c r="F19" t="s">
        <v>11</v>
      </c>
      <c r="G19">
        <f>1</f>
        <v>1</v>
      </c>
    </row>
    <row r="20" spans="1:7" x14ac:dyDescent="0.35">
      <c r="A20" s="1">
        <v>46222</v>
      </c>
      <c r="B20" t="s">
        <v>21</v>
      </c>
      <c r="C20" t="s">
        <v>94</v>
      </c>
      <c r="D20">
        <v>600</v>
      </c>
      <c r="E20">
        <v>53</v>
      </c>
      <c r="F20" t="s">
        <v>18</v>
      </c>
      <c r="G20">
        <f>1</f>
        <v>1</v>
      </c>
    </row>
    <row r="21" spans="1:7" x14ac:dyDescent="0.35">
      <c r="A21" s="1">
        <v>46223</v>
      </c>
      <c r="B21" t="s">
        <v>24</v>
      </c>
      <c r="C21" t="s">
        <v>97</v>
      </c>
      <c r="D21">
        <v>440</v>
      </c>
      <c r="E21">
        <v>29</v>
      </c>
      <c r="F21" t="s">
        <v>11</v>
      </c>
      <c r="G21">
        <f>1</f>
        <v>1</v>
      </c>
    </row>
    <row r="22" spans="1:7" x14ac:dyDescent="0.35">
      <c r="A22" s="1">
        <v>46235</v>
      </c>
      <c r="B22" t="s">
        <v>10</v>
      </c>
      <c r="C22" t="s">
        <v>86</v>
      </c>
      <c r="D22">
        <v>710</v>
      </c>
      <c r="E22">
        <v>36</v>
      </c>
      <c r="F22" t="s">
        <v>11</v>
      </c>
      <c r="G22">
        <f>1</f>
        <v>1</v>
      </c>
    </row>
    <row r="23" spans="1:7" x14ac:dyDescent="0.35">
      <c r="A23" s="1">
        <v>46236</v>
      </c>
      <c r="B23" t="s">
        <v>14</v>
      </c>
      <c r="C23" t="s">
        <v>90</v>
      </c>
      <c r="D23">
        <v>530</v>
      </c>
      <c r="E23">
        <v>43</v>
      </c>
      <c r="F23" t="s">
        <v>11</v>
      </c>
      <c r="G23">
        <f>1</f>
        <v>1</v>
      </c>
    </row>
    <row r="24" spans="1:7" x14ac:dyDescent="0.35">
      <c r="A24" s="1">
        <v>46237</v>
      </c>
      <c r="B24" t="s">
        <v>17</v>
      </c>
      <c r="C24" t="s">
        <v>82</v>
      </c>
      <c r="D24">
        <v>850</v>
      </c>
      <c r="E24">
        <v>31</v>
      </c>
      <c r="F24" t="s">
        <v>11</v>
      </c>
      <c r="G24">
        <f>1</f>
        <v>1</v>
      </c>
    </row>
    <row r="25" spans="1:7" x14ac:dyDescent="0.35">
      <c r="A25" s="1">
        <v>46238</v>
      </c>
      <c r="B25" t="s">
        <v>21</v>
      </c>
      <c r="C25" t="s">
        <v>94</v>
      </c>
      <c r="D25">
        <v>570</v>
      </c>
      <c r="E25">
        <v>49</v>
      </c>
      <c r="F25" t="s">
        <v>18</v>
      </c>
      <c r="G25">
        <f>1</f>
        <v>1</v>
      </c>
    </row>
    <row r="26" spans="1:7" x14ac:dyDescent="0.35">
      <c r="A26" s="1">
        <v>46239</v>
      </c>
      <c r="B26" t="s">
        <v>24</v>
      </c>
      <c r="C26" t="s">
        <v>97</v>
      </c>
      <c r="D26">
        <v>400</v>
      </c>
      <c r="E26">
        <v>26</v>
      </c>
      <c r="F26" t="s">
        <v>11</v>
      </c>
      <c r="G26">
        <f>1</f>
        <v>1</v>
      </c>
    </row>
    <row r="27" spans="1:7" x14ac:dyDescent="0.35">
      <c r="A27" s="1">
        <v>46240</v>
      </c>
      <c r="B27" t="s">
        <v>10</v>
      </c>
      <c r="C27" t="s">
        <v>90</v>
      </c>
      <c r="D27">
        <v>690</v>
      </c>
      <c r="E27">
        <v>38</v>
      </c>
      <c r="F27" t="s">
        <v>11</v>
      </c>
      <c r="G27">
        <f>1</f>
        <v>1</v>
      </c>
    </row>
    <row r="28" spans="1:7" x14ac:dyDescent="0.35">
      <c r="A28" s="1">
        <v>46241</v>
      </c>
      <c r="B28" t="s">
        <v>14</v>
      </c>
      <c r="C28" t="s">
        <v>82</v>
      </c>
      <c r="D28">
        <v>610</v>
      </c>
      <c r="E28">
        <v>40</v>
      </c>
      <c r="F28" t="s">
        <v>11</v>
      </c>
      <c r="G28">
        <f>1</f>
        <v>1</v>
      </c>
    </row>
    <row r="29" spans="1:7" x14ac:dyDescent="0.35">
      <c r="A29" s="1">
        <v>46242</v>
      </c>
      <c r="B29" t="s">
        <v>17</v>
      </c>
      <c r="C29" t="s">
        <v>86</v>
      </c>
      <c r="D29">
        <v>880</v>
      </c>
      <c r="E29">
        <v>33</v>
      </c>
      <c r="F29" t="s">
        <v>11</v>
      </c>
      <c r="G29">
        <f>1</f>
        <v>1</v>
      </c>
    </row>
    <row r="30" spans="1:7" x14ac:dyDescent="0.35">
      <c r="A30" s="1">
        <v>46243</v>
      </c>
      <c r="B30" t="s">
        <v>21</v>
      </c>
      <c r="C30" t="s">
        <v>97</v>
      </c>
      <c r="D30">
        <v>495</v>
      </c>
      <c r="E30">
        <v>47</v>
      </c>
      <c r="F30" t="s">
        <v>18</v>
      </c>
      <c r="G30">
        <f>1</f>
        <v>1</v>
      </c>
    </row>
    <row r="31" spans="1:7" x14ac:dyDescent="0.35">
      <c r="A31" s="1">
        <v>46244</v>
      </c>
      <c r="B31" t="s">
        <v>24</v>
      </c>
      <c r="C31" t="s">
        <v>94</v>
      </c>
      <c r="D31">
        <v>430</v>
      </c>
      <c r="E31">
        <v>30</v>
      </c>
      <c r="F31" t="s">
        <v>11</v>
      </c>
      <c r="G31">
        <f>1</f>
        <v>1</v>
      </c>
    </row>
    <row r="32" spans="1:7" x14ac:dyDescent="0.35">
      <c r="A32" s="1">
        <v>46245</v>
      </c>
      <c r="B32" t="s">
        <v>10</v>
      </c>
      <c r="C32" t="s">
        <v>82</v>
      </c>
      <c r="D32">
        <v>730</v>
      </c>
      <c r="E32">
        <v>27</v>
      </c>
      <c r="F32" t="s">
        <v>11</v>
      </c>
      <c r="G32">
        <f>1</f>
        <v>1</v>
      </c>
    </row>
    <row r="33" spans="1:7" x14ac:dyDescent="0.35">
      <c r="A33" s="1">
        <v>46246</v>
      </c>
      <c r="B33" t="s">
        <v>14</v>
      </c>
      <c r="C33" t="s">
        <v>86</v>
      </c>
      <c r="D33">
        <v>550</v>
      </c>
      <c r="E33">
        <v>45</v>
      </c>
      <c r="F33" t="s">
        <v>11</v>
      </c>
      <c r="G33">
        <f>1</f>
        <v>1</v>
      </c>
    </row>
    <row r="34" spans="1:7" x14ac:dyDescent="0.35">
      <c r="A34" s="1">
        <v>46247</v>
      </c>
      <c r="B34" t="s">
        <v>17</v>
      </c>
      <c r="C34" t="s">
        <v>90</v>
      </c>
      <c r="D34">
        <v>810</v>
      </c>
      <c r="E34">
        <v>36</v>
      </c>
      <c r="F34" t="s">
        <v>11</v>
      </c>
      <c r="G34">
        <f>1</f>
        <v>1</v>
      </c>
    </row>
    <row r="35" spans="1:7" x14ac:dyDescent="0.35">
      <c r="A35" s="1">
        <v>46248</v>
      </c>
      <c r="B35" t="s">
        <v>21</v>
      </c>
      <c r="C35" t="s">
        <v>94</v>
      </c>
      <c r="D35">
        <v>580</v>
      </c>
      <c r="E35">
        <v>52</v>
      </c>
      <c r="F35" t="s">
        <v>18</v>
      </c>
      <c r="G35">
        <f>1</f>
        <v>1</v>
      </c>
    </row>
    <row r="36" spans="1:7" x14ac:dyDescent="0.35">
      <c r="A36" s="1">
        <v>46249</v>
      </c>
      <c r="B36" t="s">
        <v>24</v>
      </c>
      <c r="C36" t="s">
        <v>97</v>
      </c>
      <c r="D36">
        <v>370</v>
      </c>
      <c r="E36">
        <v>28</v>
      </c>
      <c r="F36" t="s">
        <v>11</v>
      </c>
      <c r="G36">
        <f>1</f>
        <v>1</v>
      </c>
    </row>
    <row r="37" spans="1:7" x14ac:dyDescent="0.35">
      <c r="A37" s="1">
        <v>46266</v>
      </c>
      <c r="B37" t="s">
        <v>10</v>
      </c>
      <c r="C37" t="s">
        <v>90</v>
      </c>
      <c r="D37">
        <v>670</v>
      </c>
      <c r="E37">
        <v>34</v>
      </c>
      <c r="F37" t="s">
        <v>11</v>
      </c>
      <c r="G37">
        <f>1</f>
        <v>1</v>
      </c>
    </row>
    <row r="38" spans="1:7" x14ac:dyDescent="0.35">
      <c r="A38" s="1">
        <v>46267</v>
      </c>
      <c r="B38" t="s">
        <v>14</v>
      </c>
      <c r="C38" t="s">
        <v>82</v>
      </c>
      <c r="D38">
        <v>500</v>
      </c>
      <c r="E38">
        <v>42</v>
      </c>
      <c r="F38" t="s">
        <v>11</v>
      </c>
      <c r="G38">
        <f>1</f>
        <v>1</v>
      </c>
    </row>
    <row r="39" spans="1:7" x14ac:dyDescent="0.35">
      <c r="A39" s="1">
        <v>46268</v>
      </c>
      <c r="B39" t="s">
        <v>17</v>
      </c>
      <c r="C39" t="s">
        <v>86</v>
      </c>
      <c r="D39">
        <v>940</v>
      </c>
      <c r="E39">
        <v>29</v>
      </c>
      <c r="F39" t="s">
        <v>11</v>
      </c>
      <c r="G39">
        <f>1</f>
        <v>1</v>
      </c>
    </row>
    <row r="40" spans="1:7" x14ac:dyDescent="0.35">
      <c r="A40" s="1">
        <v>46269</v>
      </c>
      <c r="B40" t="s">
        <v>21</v>
      </c>
      <c r="C40" t="s">
        <v>97</v>
      </c>
      <c r="D40">
        <v>520</v>
      </c>
      <c r="E40">
        <v>50</v>
      </c>
      <c r="F40" t="s">
        <v>18</v>
      </c>
      <c r="G40">
        <f>1</f>
        <v>1</v>
      </c>
    </row>
    <row r="41" spans="1:7" x14ac:dyDescent="0.35">
      <c r="A41" s="1">
        <v>46270</v>
      </c>
      <c r="B41" t="s">
        <v>24</v>
      </c>
      <c r="C41" t="s">
        <v>94</v>
      </c>
      <c r="D41">
        <v>410</v>
      </c>
      <c r="E41">
        <v>31</v>
      </c>
      <c r="F41" t="s">
        <v>11</v>
      </c>
      <c r="G41">
        <f>1</f>
        <v>1</v>
      </c>
    </row>
    <row r="42" spans="1:7" x14ac:dyDescent="0.35">
      <c r="A42" s="1">
        <v>46271</v>
      </c>
      <c r="B42" t="s">
        <v>10</v>
      </c>
      <c r="C42" t="s">
        <v>82</v>
      </c>
      <c r="D42">
        <v>760</v>
      </c>
      <c r="E42">
        <v>30</v>
      </c>
      <c r="F42" t="s">
        <v>11</v>
      </c>
      <c r="G42">
        <f>1</f>
        <v>1</v>
      </c>
    </row>
    <row r="43" spans="1:7" x14ac:dyDescent="0.35">
      <c r="A43" s="1">
        <v>46272</v>
      </c>
      <c r="B43" t="s">
        <v>14</v>
      </c>
      <c r="C43" t="s">
        <v>86</v>
      </c>
      <c r="D43">
        <v>570</v>
      </c>
      <c r="E43">
        <v>39</v>
      </c>
      <c r="F43" t="s">
        <v>11</v>
      </c>
      <c r="G43">
        <f>1</f>
        <v>1</v>
      </c>
    </row>
    <row r="44" spans="1:7" x14ac:dyDescent="0.35">
      <c r="A44" s="1">
        <v>46273</v>
      </c>
      <c r="B44" t="s">
        <v>17</v>
      </c>
      <c r="C44" t="s">
        <v>90</v>
      </c>
      <c r="D44">
        <v>830</v>
      </c>
      <c r="E44">
        <v>35</v>
      </c>
      <c r="F44" t="s">
        <v>11</v>
      </c>
      <c r="G44">
        <f>1</f>
        <v>1</v>
      </c>
    </row>
    <row r="45" spans="1:7" x14ac:dyDescent="0.35">
      <c r="A45" s="1">
        <v>46274</v>
      </c>
      <c r="B45" t="s">
        <v>21</v>
      </c>
      <c r="C45" t="s">
        <v>94</v>
      </c>
      <c r="D45">
        <v>610</v>
      </c>
      <c r="E45">
        <v>54</v>
      </c>
      <c r="F45" t="s">
        <v>18</v>
      </c>
      <c r="G45">
        <f>1</f>
        <v>1</v>
      </c>
    </row>
    <row r="46" spans="1:7" x14ac:dyDescent="0.35">
      <c r="A46" s="1">
        <v>46275</v>
      </c>
      <c r="B46" t="s">
        <v>24</v>
      </c>
      <c r="C46" t="s">
        <v>97</v>
      </c>
      <c r="D46">
        <v>380</v>
      </c>
      <c r="E46">
        <v>27</v>
      </c>
      <c r="F46" t="s">
        <v>11</v>
      </c>
      <c r="G46">
        <f>1</f>
        <v>1</v>
      </c>
    </row>
    <row r="47" spans="1:7" x14ac:dyDescent="0.35">
      <c r="A47" s="1">
        <v>46276</v>
      </c>
      <c r="B47" t="s">
        <v>10</v>
      </c>
      <c r="C47" t="s">
        <v>86</v>
      </c>
      <c r="D47">
        <v>700</v>
      </c>
      <c r="E47">
        <v>32</v>
      </c>
      <c r="F47" t="s">
        <v>11</v>
      </c>
      <c r="G47">
        <f>1</f>
        <v>1</v>
      </c>
    </row>
    <row r="48" spans="1:7" x14ac:dyDescent="0.35">
      <c r="A48" s="1">
        <v>46277</v>
      </c>
      <c r="B48" t="s">
        <v>14</v>
      </c>
      <c r="C48" t="s">
        <v>90</v>
      </c>
      <c r="D48">
        <v>540</v>
      </c>
      <c r="E48">
        <v>44</v>
      </c>
      <c r="F48" t="s">
        <v>11</v>
      </c>
      <c r="G48">
        <f>1</f>
        <v>1</v>
      </c>
    </row>
    <row r="49" spans="1:7" x14ac:dyDescent="0.35">
      <c r="A49" s="1">
        <v>46278</v>
      </c>
      <c r="B49" t="s">
        <v>17</v>
      </c>
      <c r="C49" t="s">
        <v>82</v>
      </c>
      <c r="D49">
        <v>900</v>
      </c>
      <c r="E49">
        <v>31</v>
      </c>
      <c r="F49" t="s">
        <v>11</v>
      </c>
      <c r="G49">
        <f>1</f>
        <v>1</v>
      </c>
    </row>
    <row r="50" spans="1:7" x14ac:dyDescent="0.35">
      <c r="A50" s="1">
        <v>46279</v>
      </c>
      <c r="B50" t="s">
        <v>21</v>
      </c>
      <c r="C50" t="s">
        <v>97</v>
      </c>
      <c r="D50">
        <v>560</v>
      </c>
      <c r="E50">
        <v>48</v>
      </c>
      <c r="F50" t="s">
        <v>18</v>
      </c>
      <c r="G50">
        <f>1</f>
        <v>1</v>
      </c>
    </row>
    <row r="51" spans="1:7" x14ac:dyDescent="0.35">
      <c r="A51" s="1">
        <v>46280</v>
      </c>
      <c r="B51" t="s">
        <v>24</v>
      </c>
      <c r="C51" t="s">
        <v>94</v>
      </c>
      <c r="D51">
        <v>450</v>
      </c>
      <c r="E51">
        <v>29</v>
      </c>
      <c r="F51" t="s">
        <v>11</v>
      </c>
      <c r="G51">
        <f>1</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18C8-63E1-41A3-BF90-9862CC32F0D6}">
  <dimension ref="A1:M11"/>
  <sheetViews>
    <sheetView topLeftCell="A3" zoomScale="53" workbookViewId="0">
      <selection activeCell="E8" sqref="E8"/>
    </sheetView>
  </sheetViews>
  <sheetFormatPr defaultRowHeight="14.5" x14ac:dyDescent="0.35"/>
  <cols>
    <col min="1" max="1" width="15" bestFit="1" customWidth="1"/>
    <col min="2" max="2" width="17.54296875" bestFit="1" customWidth="1"/>
    <col min="3" max="3" width="26.54296875" bestFit="1" customWidth="1"/>
    <col min="4" max="4" width="16.1796875" bestFit="1" customWidth="1"/>
    <col min="5" max="5" width="26.54296875" bestFit="1" customWidth="1"/>
    <col min="6" max="6" width="16.1796875" bestFit="1" customWidth="1"/>
    <col min="7" max="7" width="26.54296875" bestFit="1" customWidth="1"/>
    <col min="8" max="8" width="16.1796875" bestFit="1" customWidth="1"/>
    <col min="9" max="9" width="26.54296875" bestFit="1" customWidth="1"/>
    <col min="10" max="10" width="16.1796875" bestFit="1" customWidth="1"/>
    <col min="11" max="11" width="26.54296875" bestFit="1" customWidth="1"/>
    <col min="12" max="12" width="21.1796875" bestFit="1" customWidth="1"/>
    <col min="13" max="13" width="31.453125" bestFit="1" customWidth="1"/>
  </cols>
  <sheetData>
    <row r="1" spans="1:13" x14ac:dyDescent="0.35">
      <c r="A1" s="25" t="s">
        <v>129</v>
      </c>
      <c r="B1" t="s">
        <v>154</v>
      </c>
    </row>
    <row r="3" spans="1:13" x14ac:dyDescent="0.35">
      <c r="B3" s="25" t="s">
        <v>152</v>
      </c>
    </row>
    <row r="4" spans="1:13" x14ac:dyDescent="0.35">
      <c r="B4" t="s">
        <v>97</v>
      </c>
      <c r="D4" t="s">
        <v>90</v>
      </c>
      <c r="F4" t="s">
        <v>82</v>
      </c>
      <c r="H4" t="s">
        <v>86</v>
      </c>
      <c r="J4" t="s">
        <v>94</v>
      </c>
      <c r="L4" t="s">
        <v>161</v>
      </c>
      <c r="M4" t="s">
        <v>162</v>
      </c>
    </row>
    <row r="5" spans="1:13" x14ac:dyDescent="0.35">
      <c r="A5" s="25" t="s">
        <v>150</v>
      </c>
      <c r="B5" t="s">
        <v>153</v>
      </c>
      <c r="C5" t="s">
        <v>163</v>
      </c>
      <c r="D5" t="s">
        <v>153</v>
      </c>
      <c r="E5" t="s">
        <v>163</v>
      </c>
      <c r="F5" t="s">
        <v>153</v>
      </c>
      <c r="G5" t="s">
        <v>163</v>
      </c>
      <c r="H5" t="s">
        <v>153</v>
      </c>
      <c r="I5" t="s">
        <v>163</v>
      </c>
      <c r="J5" t="s">
        <v>153</v>
      </c>
      <c r="K5" t="s">
        <v>163</v>
      </c>
    </row>
    <row r="6" spans="1:13" x14ac:dyDescent="0.35">
      <c r="A6" s="26" t="s">
        <v>14</v>
      </c>
      <c r="B6" s="27"/>
      <c r="C6" s="27" t="e">
        <v>#DIV/0!</v>
      </c>
      <c r="D6" s="27">
        <v>1590</v>
      </c>
      <c r="E6" s="27">
        <v>530</v>
      </c>
      <c r="F6" s="27">
        <v>1670</v>
      </c>
      <c r="G6" s="27">
        <v>556.66666666666663</v>
      </c>
      <c r="H6" s="27">
        <v>2190</v>
      </c>
      <c r="I6" s="27">
        <v>547.5</v>
      </c>
      <c r="J6" s="27"/>
      <c r="K6" s="27" t="e">
        <v>#DIV/0!</v>
      </c>
      <c r="L6" s="27">
        <v>5450</v>
      </c>
      <c r="M6" s="27">
        <v>545</v>
      </c>
    </row>
    <row r="7" spans="1:13" x14ac:dyDescent="0.35">
      <c r="A7" s="26" t="s">
        <v>24</v>
      </c>
      <c r="B7" s="27">
        <v>1980</v>
      </c>
      <c r="C7" s="27">
        <v>396</v>
      </c>
      <c r="D7" s="27"/>
      <c r="E7" s="27" t="e">
        <v>#DIV/0!</v>
      </c>
      <c r="F7" s="27"/>
      <c r="G7" s="27" t="e">
        <v>#DIV/0!</v>
      </c>
      <c r="H7" s="27"/>
      <c r="I7" s="27" t="e">
        <v>#DIV/0!</v>
      </c>
      <c r="J7" s="27">
        <v>2060</v>
      </c>
      <c r="K7" s="27">
        <v>412</v>
      </c>
      <c r="L7" s="27">
        <v>4040</v>
      </c>
      <c r="M7" s="27">
        <v>404</v>
      </c>
    </row>
    <row r="8" spans="1:13" x14ac:dyDescent="0.35">
      <c r="A8" s="26" t="s">
        <v>10</v>
      </c>
      <c r="B8" s="27"/>
      <c r="C8" s="27" t="e">
        <v>#DIV/0!</v>
      </c>
      <c r="D8" s="27">
        <v>2060</v>
      </c>
      <c r="E8" s="27">
        <v>686.66666666666663</v>
      </c>
      <c r="F8" s="27">
        <v>2750</v>
      </c>
      <c r="G8" s="27">
        <v>687.5</v>
      </c>
      <c r="H8" s="27">
        <v>2090</v>
      </c>
      <c r="I8" s="27">
        <v>696.66666666666663</v>
      </c>
      <c r="J8" s="27"/>
      <c r="K8" s="27" t="e">
        <v>#DIV/0!</v>
      </c>
      <c r="L8" s="27">
        <v>6900</v>
      </c>
      <c r="M8" s="27">
        <v>690</v>
      </c>
    </row>
    <row r="9" spans="1:13" x14ac:dyDescent="0.35">
      <c r="A9" s="26" t="s">
        <v>17</v>
      </c>
      <c r="B9" s="27"/>
      <c r="C9" s="27" t="e">
        <v>#DIV/0!</v>
      </c>
      <c r="D9" s="27">
        <v>3170</v>
      </c>
      <c r="E9" s="27">
        <v>792.5</v>
      </c>
      <c r="F9" s="27">
        <v>2560</v>
      </c>
      <c r="G9" s="27">
        <v>853.33333333333337</v>
      </c>
      <c r="H9" s="27">
        <v>2740</v>
      </c>
      <c r="I9" s="27">
        <v>913.33333333333337</v>
      </c>
      <c r="J9" s="27"/>
      <c r="K9" s="27" t="e">
        <v>#DIV/0!</v>
      </c>
      <c r="L9" s="27">
        <v>8470</v>
      </c>
      <c r="M9" s="27">
        <v>847</v>
      </c>
    </row>
    <row r="10" spans="1:13" x14ac:dyDescent="0.35">
      <c r="A10" s="26" t="s">
        <v>21</v>
      </c>
      <c r="B10" s="27">
        <v>2545</v>
      </c>
      <c r="C10" s="27">
        <v>509</v>
      </c>
      <c r="D10" s="27"/>
      <c r="E10" s="27" t="e">
        <v>#DIV/0!</v>
      </c>
      <c r="F10" s="27"/>
      <c r="G10" s="27" t="e">
        <v>#DIV/0!</v>
      </c>
      <c r="H10" s="27"/>
      <c r="I10" s="27" t="e">
        <v>#DIV/0!</v>
      </c>
      <c r="J10" s="27">
        <v>2900</v>
      </c>
      <c r="K10" s="27">
        <v>580</v>
      </c>
      <c r="L10" s="27">
        <v>5445</v>
      </c>
      <c r="M10" s="27">
        <v>544.5</v>
      </c>
    </row>
    <row r="11" spans="1:13" x14ac:dyDescent="0.35">
      <c r="A11" s="26" t="s">
        <v>151</v>
      </c>
      <c r="B11" s="27">
        <v>4525</v>
      </c>
      <c r="C11" s="27">
        <v>452.5</v>
      </c>
      <c r="D11" s="27">
        <v>6820</v>
      </c>
      <c r="E11" s="27">
        <v>682</v>
      </c>
      <c r="F11" s="27">
        <v>6980</v>
      </c>
      <c r="G11" s="27">
        <v>698</v>
      </c>
      <c r="H11" s="27">
        <v>7020</v>
      </c>
      <c r="I11" s="27">
        <v>702</v>
      </c>
      <c r="J11" s="27">
        <v>4960</v>
      </c>
      <c r="K11" s="27">
        <v>496</v>
      </c>
      <c r="L11" s="27">
        <v>30305</v>
      </c>
      <c r="M11" s="27">
        <v>606.1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C25C-A7ED-4578-80A3-93D098E77C2E}">
  <dimension ref="A3:B8"/>
  <sheetViews>
    <sheetView workbookViewId="0">
      <selection activeCell="I19" sqref="I19"/>
    </sheetView>
  </sheetViews>
  <sheetFormatPr defaultRowHeight="14.5" x14ac:dyDescent="0.35"/>
  <cols>
    <col min="1" max="1" width="12.36328125" bestFit="1" customWidth="1"/>
    <col min="2" max="2" width="18.08984375" bestFit="1" customWidth="1"/>
  </cols>
  <sheetData>
    <row r="3" spans="1:2" x14ac:dyDescent="0.35">
      <c r="A3" s="25" t="s">
        <v>150</v>
      </c>
      <c r="B3" t="s">
        <v>158</v>
      </c>
    </row>
    <row r="4" spans="1:2" x14ac:dyDescent="0.35">
      <c r="A4" s="26" t="s">
        <v>159</v>
      </c>
      <c r="B4" s="27">
        <v>50</v>
      </c>
    </row>
    <row r="5" spans="1:2" x14ac:dyDescent="0.35">
      <c r="A5" s="29" t="s">
        <v>155</v>
      </c>
      <c r="B5" s="27">
        <v>20</v>
      </c>
    </row>
    <row r="6" spans="1:2" x14ac:dyDescent="0.35">
      <c r="A6" s="29" t="s">
        <v>156</v>
      </c>
      <c r="B6" s="27">
        <v>15</v>
      </c>
    </row>
    <row r="7" spans="1:2" x14ac:dyDescent="0.35">
      <c r="A7" s="29" t="s">
        <v>157</v>
      </c>
      <c r="B7" s="27">
        <v>15</v>
      </c>
    </row>
    <row r="8" spans="1:2" x14ac:dyDescent="0.35">
      <c r="A8" s="26" t="s">
        <v>151</v>
      </c>
      <c r="B8" s="27">
        <v>50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2552-9F1F-49F2-87F7-1A854010158A}">
  <dimension ref="A1:Q51"/>
  <sheetViews>
    <sheetView workbookViewId="0">
      <selection activeCell="G16" sqref="G16"/>
    </sheetView>
  </sheetViews>
  <sheetFormatPr defaultRowHeight="14.5" x14ac:dyDescent="0.35"/>
  <cols>
    <col min="1" max="1" width="11.7265625" customWidth="1"/>
    <col min="2" max="2" width="14.6328125" customWidth="1"/>
    <col min="3" max="3" width="11.54296875" customWidth="1"/>
    <col min="4" max="4" width="12.81640625" customWidth="1"/>
    <col min="5" max="5" width="14.1796875" customWidth="1"/>
    <col min="6" max="6" width="13.7265625" customWidth="1"/>
    <col min="7" max="7" width="12.81640625" customWidth="1"/>
    <col min="8" max="8" width="12.90625" customWidth="1"/>
    <col min="9" max="9" width="14" customWidth="1"/>
    <col min="10" max="10" width="12.1796875" customWidth="1"/>
    <col min="18" max="19" width="8.7265625" customWidth="1"/>
  </cols>
  <sheetData>
    <row r="1" spans="1:17" x14ac:dyDescent="0.35">
      <c r="A1" s="34" t="s">
        <v>0</v>
      </c>
      <c r="B1" s="34" t="s">
        <v>164</v>
      </c>
      <c r="C1" s="34" t="s">
        <v>76</v>
      </c>
      <c r="D1" s="34" t="s">
        <v>5</v>
      </c>
      <c r="E1" s="13" t="s">
        <v>179</v>
      </c>
      <c r="F1" s="13" t="s">
        <v>180</v>
      </c>
      <c r="I1" s="30" t="s">
        <v>147</v>
      </c>
      <c r="J1" s="31" t="s">
        <v>126</v>
      </c>
      <c r="K1" s="31" t="s">
        <v>148</v>
      </c>
      <c r="L1" s="31" t="s">
        <v>149</v>
      </c>
      <c r="M1" s="31" t="s">
        <v>128</v>
      </c>
      <c r="N1" s="31" t="s">
        <v>129</v>
      </c>
      <c r="Q1" s="34"/>
    </row>
    <row r="2" spans="1:17" x14ac:dyDescent="0.35">
      <c r="A2" s="1">
        <f>'Task3 Orders'!A2</f>
        <v>46204</v>
      </c>
      <c r="B2">
        <f>'Task3 Orders'!E2</f>
        <v>28</v>
      </c>
      <c r="C2">
        <f>'Task3 Orders'!D2</f>
        <v>620</v>
      </c>
      <c r="D2">
        <v>4</v>
      </c>
      <c r="E2" t="str">
        <f>IF(OR(B2&lt;'Stats Summary'!$B$12,B2&gt;'Stats Summary'!$B$13),"Yes","No")</f>
        <v>No</v>
      </c>
      <c r="F2" s="15">
        <f>CORREL(B2:B51,C2:C51)</f>
        <v>-0.15825049656154289</v>
      </c>
      <c r="I2" s="32">
        <v>46204</v>
      </c>
      <c r="J2" s="7" t="s">
        <v>10</v>
      </c>
      <c r="K2" s="7" t="s">
        <v>82</v>
      </c>
      <c r="L2" s="7">
        <v>620</v>
      </c>
      <c r="M2" s="7">
        <v>28</v>
      </c>
      <c r="N2" s="7" t="s">
        <v>11</v>
      </c>
    </row>
    <row r="3" spans="1:17" x14ac:dyDescent="0.35">
      <c r="A3" s="1">
        <f>'Task3 Orders'!A3</f>
        <v>46205</v>
      </c>
      <c r="B3">
        <f>'Task3 Orders'!E3</f>
        <v>42</v>
      </c>
      <c r="C3">
        <f>'Task3 Orders'!D3</f>
        <v>480</v>
      </c>
      <c r="D3">
        <v>4</v>
      </c>
      <c r="E3" t="str">
        <f>IF(OR(B3&lt;'Stats Summary'!$B$12,B3&gt;'Stats Summary'!$B$13),"Yes","No")</f>
        <v>No</v>
      </c>
      <c r="F3" s="15">
        <f>CORREL(B2:B51,D2:D51)</f>
        <v>-0.65195500164544884</v>
      </c>
      <c r="I3" s="33">
        <v>46205</v>
      </c>
      <c r="J3" s="14" t="s">
        <v>14</v>
      </c>
      <c r="K3" s="14" t="s">
        <v>86</v>
      </c>
      <c r="L3" s="14">
        <v>480</v>
      </c>
      <c r="M3" s="14">
        <v>42</v>
      </c>
      <c r="N3" s="14" t="s">
        <v>11</v>
      </c>
    </row>
    <row r="4" spans="1:17" x14ac:dyDescent="0.35">
      <c r="A4" s="1">
        <f>'Task3 Orders'!A4</f>
        <v>46206</v>
      </c>
      <c r="B4">
        <f>'Task3 Orders'!E4</f>
        <v>35</v>
      </c>
      <c r="C4">
        <f>'Task3 Orders'!D4</f>
        <v>750</v>
      </c>
      <c r="D4">
        <v>5</v>
      </c>
      <c r="E4" t="str">
        <f>IF(OR(B4&lt;'Stats Summary'!$B$12,B4&gt;'Stats Summary'!$B$13),"Yes","No")</f>
        <v>No</v>
      </c>
      <c r="F4" s="15">
        <f>CORREL(C2:C51,D2:D51)</f>
        <v>0.44255685753541762</v>
      </c>
      <c r="I4" s="32">
        <v>46206</v>
      </c>
      <c r="J4" s="7" t="s">
        <v>17</v>
      </c>
      <c r="K4" s="7" t="s">
        <v>90</v>
      </c>
      <c r="L4" s="7">
        <v>750</v>
      </c>
      <c r="M4" s="7">
        <v>35</v>
      </c>
      <c r="N4" s="7" t="s">
        <v>11</v>
      </c>
    </row>
    <row r="5" spans="1:17" x14ac:dyDescent="0.35">
      <c r="A5" s="1">
        <f>'Task3 Orders'!A5</f>
        <v>46207</v>
      </c>
      <c r="B5">
        <f>'Task3 Orders'!E5</f>
        <v>48</v>
      </c>
      <c r="C5">
        <f>'Task3 Orders'!D5</f>
        <v>540</v>
      </c>
      <c r="D5">
        <v>3</v>
      </c>
      <c r="E5" t="str">
        <f>IF(OR(B5&lt;'Stats Summary'!$B$12,B5&gt;'Stats Summary'!$B$13),"Yes","No")</f>
        <v>No</v>
      </c>
      <c r="I5" s="33">
        <v>46207</v>
      </c>
      <c r="J5" s="14" t="s">
        <v>21</v>
      </c>
      <c r="K5" s="14" t="s">
        <v>94</v>
      </c>
      <c r="L5" s="14">
        <v>540</v>
      </c>
      <c r="M5" s="14">
        <v>48</v>
      </c>
      <c r="N5" s="14" t="s">
        <v>18</v>
      </c>
    </row>
    <row r="6" spans="1:17" x14ac:dyDescent="0.35">
      <c r="A6" s="1">
        <f>'Task3 Orders'!A6</f>
        <v>46208</v>
      </c>
      <c r="B6">
        <f>'Task3 Orders'!E6</f>
        <v>25</v>
      </c>
      <c r="C6">
        <f>'Task3 Orders'!D6</f>
        <v>390</v>
      </c>
      <c r="D6">
        <v>4</v>
      </c>
      <c r="E6" t="str">
        <f>IF(OR(B6&lt;'Stats Summary'!$B$12,B6&gt;'Stats Summary'!$B$13),"Yes","No")</f>
        <v>No</v>
      </c>
      <c r="I6" s="32">
        <v>46208</v>
      </c>
      <c r="J6" s="7" t="s">
        <v>24</v>
      </c>
      <c r="K6" s="7" t="s">
        <v>97</v>
      </c>
      <c r="L6" s="7">
        <v>390</v>
      </c>
      <c r="M6" s="7">
        <v>25</v>
      </c>
      <c r="N6" s="7" t="s">
        <v>11</v>
      </c>
    </row>
    <row r="7" spans="1:17" x14ac:dyDescent="0.35">
      <c r="A7" s="1">
        <f>'Task3 Orders'!A7</f>
        <v>46209</v>
      </c>
      <c r="B7">
        <f>'Task3 Orders'!E7</f>
        <v>31</v>
      </c>
      <c r="C7">
        <f>'Task3 Orders'!D7</f>
        <v>680</v>
      </c>
      <c r="D7">
        <v>5</v>
      </c>
      <c r="E7" t="str">
        <f>IF(OR(B7&lt;'Stats Summary'!$B$12,B7&gt;'Stats Summary'!$B$13),"Yes","No")</f>
        <v>No</v>
      </c>
      <c r="I7" s="33">
        <v>46209</v>
      </c>
      <c r="J7" s="14" t="s">
        <v>10</v>
      </c>
      <c r="K7" s="14" t="s">
        <v>86</v>
      </c>
      <c r="L7" s="14">
        <v>680</v>
      </c>
      <c r="M7" s="14">
        <v>31</v>
      </c>
      <c r="N7" s="14" t="s">
        <v>11</v>
      </c>
    </row>
    <row r="8" spans="1:17" x14ac:dyDescent="0.35">
      <c r="A8" s="1">
        <f>'Task3 Orders'!A8</f>
        <v>46210</v>
      </c>
      <c r="B8">
        <f>'Task3 Orders'!E8</f>
        <v>44</v>
      </c>
      <c r="C8">
        <f>'Task3 Orders'!D8</f>
        <v>520</v>
      </c>
      <c r="D8">
        <v>4</v>
      </c>
      <c r="E8" t="str">
        <f>IF(OR(B8&lt;'Stats Summary'!$B$12,B8&gt;'Stats Summary'!$B$13),"Yes","No")</f>
        <v>No</v>
      </c>
      <c r="I8" s="32">
        <v>46210</v>
      </c>
      <c r="J8" s="7" t="s">
        <v>14</v>
      </c>
      <c r="K8" s="7" t="s">
        <v>90</v>
      </c>
      <c r="L8" s="7">
        <v>520</v>
      </c>
      <c r="M8" s="7">
        <v>44</v>
      </c>
      <c r="N8" s="7" t="s">
        <v>11</v>
      </c>
    </row>
    <row r="9" spans="1:17" x14ac:dyDescent="0.35">
      <c r="A9" s="1">
        <f>'Task3 Orders'!A9</f>
        <v>46211</v>
      </c>
      <c r="B9">
        <f>'Task3 Orders'!E9</f>
        <v>29</v>
      </c>
      <c r="C9">
        <f>'Task3 Orders'!D9</f>
        <v>810</v>
      </c>
      <c r="D9">
        <v>5</v>
      </c>
      <c r="E9" t="str">
        <f>IF(OR(B9&lt;'Stats Summary'!$B$12,B9&gt;'Stats Summary'!$B$13),"Yes","No")</f>
        <v>No</v>
      </c>
      <c r="I9" s="33">
        <v>46211</v>
      </c>
      <c r="J9" s="14" t="s">
        <v>17</v>
      </c>
      <c r="K9" s="14" t="s">
        <v>82</v>
      </c>
      <c r="L9" s="14">
        <v>810</v>
      </c>
      <c r="M9" s="14">
        <v>29</v>
      </c>
      <c r="N9" s="14" t="s">
        <v>11</v>
      </c>
    </row>
    <row r="10" spans="1:17" x14ac:dyDescent="0.35">
      <c r="A10" s="1">
        <f>'Task3 Orders'!A10</f>
        <v>46212</v>
      </c>
      <c r="B10">
        <f>'Task3 Orders'!E10</f>
        <v>51</v>
      </c>
      <c r="C10">
        <f>'Task3 Orders'!D10</f>
        <v>460</v>
      </c>
      <c r="D10">
        <v>3</v>
      </c>
      <c r="E10" t="str">
        <f>IF(OR(B10&lt;'Stats Summary'!$B$12,B10&gt;'Stats Summary'!$B$13),"Yes","No")</f>
        <v>No</v>
      </c>
      <c r="I10" s="32">
        <v>46212</v>
      </c>
      <c r="J10" s="7" t="s">
        <v>21</v>
      </c>
      <c r="K10" s="7" t="s">
        <v>97</v>
      </c>
      <c r="L10" s="7">
        <v>460</v>
      </c>
      <c r="M10" s="7">
        <v>51</v>
      </c>
      <c r="N10" s="7" t="s">
        <v>18</v>
      </c>
    </row>
    <row r="11" spans="1:17" x14ac:dyDescent="0.35">
      <c r="A11" s="1">
        <f>'Task3 Orders'!A11</f>
        <v>46213</v>
      </c>
      <c r="B11">
        <f>'Task3 Orders'!E11</f>
        <v>37</v>
      </c>
      <c r="C11">
        <f>'Task3 Orders'!D11</f>
        <v>420</v>
      </c>
      <c r="D11">
        <v>4</v>
      </c>
      <c r="E11" t="str">
        <f>IF(OR(B11&lt;'Stats Summary'!$B$12,B11&gt;'Stats Summary'!$B$13),"Yes","No")</f>
        <v>No</v>
      </c>
      <c r="I11" s="33">
        <v>46213</v>
      </c>
      <c r="J11" s="14" t="s">
        <v>24</v>
      </c>
      <c r="K11" s="14" t="s">
        <v>94</v>
      </c>
      <c r="L11" s="14">
        <v>420</v>
      </c>
      <c r="M11" s="14">
        <v>37</v>
      </c>
      <c r="N11" s="14" t="s">
        <v>11</v>
      </c>
    </row>
    <row r="12" spans="1:17" x14ac:dyDescent="0.35">
      <c r="A12" s="1">
        <f>'Task3 Orders'!A12</f>
        <v>46214</v>
      </c>
      <c r="B12">
        <f>'Task3 Orders'!E12</f>
        <v>33</v>
      </c>
      <c r="C12">
        <f>'Task3 Orders'!D12</f>
        <v>700</v>
      </c>
      <c r="D12">
        <v>5</v>
      </c>
      <c r="E12" t="str">
        <f>IF(OR(B12&lt;'Stats Summary'!$B$12,B12&gt;'Stats Summary'!$B$13),"Yes","No")</f>
        <v>No</v>
      </c>
      <c r="I12" s="32">
        <v>46214</v>
      </c>
      <c r="J12" s="7" t="s">
        <v>10</v>
      </c>
      <c r="K12" s="7" t="s">
        <v>90</v>
      </c>
      <c r="L12" s="7">
        <v>700</v>
      </c>
      <c r="M12" s="7">
        <v>33</v>
      </c>
      <c r="N12" s="7" t="s">
        <v>11</v>
      </c>
    </row>
    <row r="13" spans="1:17" x14ac:dyDescent="0.35">
      <c r="A13" s="1">
        <f>'Task3 Orders'!A13</f>
        <v>46215</v>
      </c>
      <c r="B13">
        <f>'Task3 Orders'!E13</f>
        <v>39</v>
      </c>
      <c r="C13">
        <f>'Task3 Orders'!D13</f>
        <v>560</v>
      </c>
      <c r="D13">
        <v>4</v>
      </c>
      <c r="E13" t="str">
        <f>IF(OR(B13&lt;'Stats Summary'!$B$12,B13&gt;'Stats Summary'!$B$13),"Yes","No")</f>
        <v>No</v>
      </c>
      <c r="I13" s="33">
        <v>46215</v>
      </c>
      <c r="J13" s="14" t="s">
        <v>14</v>
      </c>
      <c r="K13" s="14" t="s">
        <v>82</v>
      </c>
      <c r="L13" s="14">
        <v>560</v>
      </c>
      <c r="M13" s="14">
        <v>39</v>
      </c>
      <c r="N13" s="14" t="s">
        <v>11</v>
      </c>
    </row>
    <row r="14" spans="1:17" x14ac:dyDescent="0.35">
      <c r="A14" s="1">
        <f>'Task3 Orders'!A14</f>
        <v>46216</v>
      </c>
      <c r="B14">
        <f>'Task3 Orders'!E14</f>
        <v>30</v>
      </c>
      <c r="C14">
        <f>'Task3 Orders'!D14</f>
        <v>920</v>
      </c>
      <c r="D14">
        <v>5</v>
      </c>
      <c r="E14" t="str">
        <f>IF(OR(B14&lt;'Stats Summary'!$B$12,B14&gt;'Stats Summary'!$B$13),"Yes","No")</f>
        <v>No</v>
      </c>
      <c r="I14" s="32">
        <v>46216</v>
      </c>
      <c r="J14" s="7" t="s">
        <v>17</v>
      </c>
      <c r="K14" s="7" t="s">
        <v>86</v>
      </c>
      <c r="L14" s="7">
        <v>920</v>
      </c>
      <c r="M14" s="7">
        <v>30</v>
      </c>
      <c r="N14" s="7" t="s">
        <v>11</v>
      </c>
    </row>
    <row r="15" spans="1:17" x14ac:dyDescent="0.35">
      <c r="A15" s="1">
        <f>'Task3 Orders'!A15</f>
        <v>46217</v>
      </c>
      <c r="B15">
        <f>'Task3 Orders'!E15</f>
        <v>46</v>
      </c>
      <c r="C15">
        <f>'Task3 Orders'!D15</f>
        <v>510</v>
      </c>
      <c r="D15">
        <v>3</v>
      </c>
      <c r="E15" t="str">
        <f>IF(OR(B15&lt;'Stats Summary'!$B$12,B15&gt;'Stats Summary'!$B$13),"Yes","No")</f>
        <v>No</v>
      </c>
      <c r="I15" s="33">
        <v>46217</v>
      </c>
      <c r="J15" s="14" t="s">
        <v>21</v>
      </c>
      <c r="K15" s="14" t="s">
        <v>97</v>
      </c>
      <c r="L15" s="14">
        <v>510</v>
      </c>
      <c r="M15" s="14">
        <v>46</v>
      </c>
      <c r="N15" s="14" t="s">
        <v>18</v>
      </c>
    </row>
    <row r="16" spans="1:17" x14ac:dyDescent="0.35">
      <c r="A16" s="1">
        <f>'Task3 Orders'!A16</f>
        <v>46218</v>
      </c>
      <c r="B16">
        <f>'Task3 Orders'!E16</f>
        <v>27</v>
      </c>
      <c r="C16">
        <f>'Task3 Orders'!D16</f>
        <v>350</v>
      </c>
      <c r="D16">
        <v>4</v>
      </c>
      <c r="E16" t="str">
        <f>IF(OR(B16&lt;'Stats Summary'!$B$12,B16&gt;'Stats Summary'!$B$13),"Yes","No")</f>
        <v>No</v>
      </c>
      <c r="I16" s="32">
        <v>46218</v>
      </c>
      <c r="J16" s="7" t="s">
        <v>24</v>
      </c>
      <c r="K16" s="7" t="s">
        <v>94</v>
      </c>
      <c r="L16" s="7">
        <v>350</v>
      </c>
      <c r="M16" s="7">
        <v>27</v>
      </c>
      <c r="N16" s="7" t="s">
        <v>11</v>
      </c>
    </row>
    <row r="17" spans="1:14" x14ac:dyDescent="0.35">
      <c r="A17" s="1">
        <f>'Task3 Orders'!A17</f>
        <v>46219</v>
      </c>
      <c r="B17">
        <f>'Task3 Orders'!E17</f>
        <v>32</v>
      </c>
      <c r="C17">
        <f>'Task3 Orders'!D17</f>
        <v>640</v>
      </c>
      <c r="D17">
        <v>4</v>
      </c>
      <c r="E17" t="str">
        <f>IF(OR(B17&lt;'Stats Summary'!$B$12,B17&gt;'Stats Summary'!$B$13),"Yes","No")</f>
        <v>No</v>
      </c>
      <c r="I17" s="33">
        <v>46219</v>
      </c>
      <c r="J17" s="14" t="s">
        <v>10</v>
      </c>
      <c r="K17" s="14" t="s">
        <v>82</v>
      </c>
      <c r="L17" s="14">
        <v>640</v>
      </c>
      <c r="M17" s="14">
        <v>32</v>
      </c>
      <c r="N17" s="14" t="s">
        <v>11</v>
      </c>
    </row>
    <row r="18" spans="1:14" x14ac:dyDescent="0.35">
      <c r="A18" s="1">
        <f>'Task3 Orders'!A18</f>
        <v>46220</v>
      </c>
      <c r="B18">
        <f>'Task3 Orders'!E18</f>
        <v>41</v>
      </c>
      <c r="C18">
        <f>'Task3 Orders'!D18</f>
        <v>590</v>
      </c>
      <c r="D18">
        <v>5</v>
      </c>
      <c r="E18" t="str">
        <f>IF(OR(B18&lt;'Stats Summary'!$B$12,B18&gt;'Stats Summary'!$B$13),"Yes","No")</f>
        <v>No</v>
      </c>
      <c r="I18" s="32">
        <v>46220</v>
      </c>
      <c r="J18" s="7" t="s">
        <v>14</v>
      </c>
      <c r="K18" s="7" t="s">
        <v>86</v>
      </c>
      <c r="L18" s="7">
        <v>590</v>
      </c>
      <c r="M18" s="7">
        <v>41</v>
      </c>
      <c r="N18" s="7" t="s">
        <v>11</v>
      </c>
    </row>
    <row r="19" spans="1:14" x14ac:dyDescent="0.35">
      <c r="A19" s="1">
        <f>'Task3 Orders'!A19</f>
        <v>46221</v>
      </c>
      <c r="B19">
        <f>'Task3 Orders'!E19</f>
        <v>34</v>
      </c>
      <c r="C19">
        <f>'Task3 Orders'!D19</f>
        <v>780</v>
      </c>
      <c r="D19">
        <v>4</v>
      </c>
      <c r="E19" t="str">
        <f>IF(OR(B19&lt;'Stats Summary'!$B$12,B19&gt;'Stats Summary'!$B$13),"Yes","No")</f>
        <v>No</v>
      </c>
      <c r="I19" s="33">
        <v>46221</v>
      </c>
      <c r="J19" s="14" t="s">
        <v>17</v>
      </c>
      <c r="K19" s="14" t="s">
        <v>90</v>
      </c>
      <c r="L19" s="14">
        <v>780</v>
      </c>
      <c r="M19" s="14">
        <v>34</v>
      </c>
      <c r="N19" s="14" t="s">
        <v>11</v>
      </c>
    </row>
    <row r="20" spans="1:14" x14ac:dyDescent="0.35">
      <c r="A20" s="1">
        <f>'Task3 Orders'!A20</f>
        <v>46222</v>
      </c>
      <c r="B20">
        <f>'Task3 Orders'!E20</f>
        <v>53</v>
      </c>
      <c r="C20">
        <f>'Task3 Orders'!D20</f>
        <v>600</v>
      </c>
      <c r="D20">
        <v>3</v>
      </c>
      <c r="E20" t="str">
        <f>IF(OR(B20&lt;'Stats Summary'!$B$12,B20&gt;'Stats Summary'!$B$13),"Yes","No")</f>
        <v>No</v>
      </c>
      <c r="I20" s="32">
        <v>46222</v>
      </c>
      <c r="J20" s="7" t="s">
        <v>21</v>
      </c>
      <c r="K20" s="7" t="s">
        <v>94</v>
      </c>
      <c r="L20" s="7">
        <v>600</v>
      </c>
      <c r="M20" s="7">
        <v>53</v>
      </c>
      <c r="N20" s="7" t="s">
        <v>18</v>
      </c>
    </row>
    <row r="21" spans="1:14" x14ac:dyDescent="0.35">
      <c r="A21" s="1">
        <f>'Task3 Orders'!A21</f>
        <v>46223</v>
      </c>
      <c r="B21">
        <f>'Task3 Orders'!E21</f>
        <v>29</v>
      </c>
      <c r="C21">
        <f>'Task3 Orders'!D21</f>
        <v>440</v>
      </c>
      <c r="D21">
        <v>5</v>
      </c>
      <c r="E21" t="str">
        <f>IF(OR(B21&lt;'Stats Summary'!$B$12,B21&gt;'Stats Summary'!$B$13),"Yes","No")</f>
        <v>No</v>
      </c>
      <c r="I21" s="33">
        <v>46223</v>
      </c>
      <c r="J21" s="14" t="s">
        <v>24</v>
      </c>
      <c r="K21" s="14" t="s">
        <v>97</v>
      </c>
      <c r="L21" s="14">
        <v>440</v>
      </c>
      <c r="M21" s="14">
        <v>29</v>
      </c>
      <c r="N21" s="14" t="s">
        <v>11</v>
      </c>
    </row>
    <row r="22" spans="1:14" x14ac:dyDescent="0.35">
      <c r="A22" s="1">
        <f>'Task3 Orders'!A22</f>
        <v>46235</v>
      </c>
      <c r="B22">
        <f>'Task3 Orders'!E22</f>
        <v>36</v>
      </c>
      <c r="C22">
        <f>'Task3 Orders'!D22</f>
        <v>710</v>
      </c>
      <c r="D22">
        <v>4</v>
      </c>
      <c r="E22" t="str">
        <f>IF(OR(B22&lt;'Stats Summary'!$B$12,B22&gt;'Stats Summary'!$B$13),"Yes","No")</f>
        <v>No</v>
      </c>
      <c r="I22" s="32">
        <v>46235</v>
      </c>
      <c r="J22" s="7" t="s">
        <v>10</v>
      </c>
      <c r="K22" s="7" t="s">
        <v>86</v>
      </c>
      <c r="L22" s="7">
        <v>710</v>
      </c>
      <c r="M22" s="7">
        <v>36</v>
      </c>
      <c r="N22" s="7" t="s">
        <v>11</v>
      </c>
    </row>
    <row r="23" spans="1:14" x14ac:dyDescent="0.35">
      <c r="A23" s="1">
        <f>'Task3 Orders'!A23</f>
        <v>46236</v>
      </c>
      <c r="B23">
        <f>'Task3 Orders'!E23</f>
        <v>43</v>
      </c>
      <c r="C23">
        <f>'Task3 Orders'!D23</f>
        <v>530</v>
      </c>
      <c r="D23">
        <v>4</v>
      </c>
      <c r="E23" t="str">
        <f>IF(OR(B23&lt;'Stats Summary'!$B$12,B23&gt;'Stats Summary'!$B$13),"Yes","No")</f>
        <v>No</v>
      </c>
      <c r="I23" s="33">
        <v>46236</v>
      </c>
      <c r="J23" s="14" t="s">
        <v>14</v>
      </c>
      <c r="K23" s="14" t="s">
        <v>90</v>
      </c>
      <c r="L23" s="14">
        <v>530</v>
      </c>
      <c r="M23" s="14">
        <v>43</v>
      </c>
      <c r="N23" s="14" t="s">
        <v>11</v>
      </c>
    </row>
    <row r="24" spans="1:14" x14ac:dyDescent="0.35">
      <c r="A24" s="1">
        <f>'Task3 Orders'!A24</f>
        <v>46237</v>
      </c>
      <c r="B24">
        <f>'Task3 Orders'!E24</f>
        <v>31</v>
      </c>
      <c r="C24">
        <f>'Task3 Orders'!D24</f>
        <v>850</v>
      </c>
      <c r="D24">
        <v>5</v>
      </c>
      <c r="E24" t="str">
        <f>IF(OR(B24&lt;'Stats Summary'!$B$12,B24&gt;'Stats Summary'!$B$13),"Yes","No")</f>
        <v>No</v>
      </c>
      <c r="I24" s="32">
        <v>46237</v>
      </c>
      <c r="J24" s="7" t="s">
        <v>17</v>
      </c>
      <c r="K24" s="7" t="s">
        <v>82</v>
      </c>
      <c r="L24" s="7">
        <v>850</v>
      </c>
      <c r="M24" s="7">
        <v>31</v>
      </c>
      <c r="N24" s="7" t="s">
        <v>11</v>
      </c>
    </row>
    <row r="25" spans="1:14" x14ac:dyDescent="0.35">
      <c r="A25" s="1">
        <f>'Task3 Orders'!A25</f>
        <v>46238</v>
      </c>
      <c r="B25">
        <f>'Task3 Orders'!E25</f>
        <v>49</v>
      </c>
      <c r="C25">
        <f>'Task3 Orders'!D25</f>
        <v>570</v>
      </c>
      <c r="D25">
        <v>3</v>
      </c>
      <c r="E25" t="str">
        <f>IF(OR(B25&lt;'Stats Summary'!$B$12,B25&gt;'Stats Summary'!$B$13),"Yes","No")</f>
        <v>No</v>
      </c>
      <c r="I25" s="33">
        <v>46238</v>
      </c>
      <c r="J25" s="14" t="s">
        <v>21</v>
      </c>
      <c r="K25" s="14" t="s">
        <v>94</v>
      </c>
      <c r="L25" s="14">
        <v>570</v>
      </c>
      <c r="M25" s="14">
        <v>49</v>
      </c>
      <c r="N25" s="14" t="s">
        <v>18</v>
      </c>
    </row>
    <row r="26" spans="1:14" x14ac:dyDescent="0.35">
      <c r="A26" s="1">
        <f>'Task3 Orders'!A26</f>
        <v>46239</v>
      </c>
      <c r="B26">
        <f>'Task3 Orders'!E26</f>
        <v>26</v>
      </c>
      <c r="C26">
        <f>'Task3 Orders'!D26</f>
        <v>400</v>
      </c>
      <c r="D26">
        <v>4</v>
      </c>
      <c r="E26" t="str">
        <f>IF(OR(B26&lt;'Stats Summary'!$B$12,B26&gt;'Stats Summary'!$B$13),"Yes","No")</f>
        <v>No</v>
      </c>
      <c r="I26" s="32">
        <v>46239</v>
      </c>
      <c r="J26" s="7" t="s">
        <v>24</v>
      </c>
      <c r="K26" s="7" t="s">
        <v>97</v>
      </c>
      <c r="L26" s="7">
        <v>400</v>
      </c>
      <c r="M26" s="7">
        <v>26</v>
      </c>
      <c r="N26" s="7" t="s">
        <v>11</v>
      </c>
    </row>
    <row r="27" spans="1:14" x14ac:dyDescent="0.35">
      <c r="A27" s="1">
        <f>'Task3 Orders'!A27</f>
        <v>46240</v>
      </c>
      <c r="B27">
        <f>'Task3 Orders'!E27</f>
        <v>38</v>
      </c>
      <c r="C27">
        <f>'Task3 Orders'!D27</f>
        <v>690</v>
      </c>
      <c r="D27">
        <v>5</v>
      </c>
      <c r="E27" t="str">
        <f>IF(OR(B27&lt;'Stats Summary'!$B$12,B27&gt;'Stats Summary'!$B$13),"Yes","No")</f>
        <v>No</v>
      </c>
      <c r="I27" s="33">
        <v>46240</v>
      </c>
      <c r="J27" s="14" t="s">
        <v>10</v>
      </c>
      <c r="K27" s="14" t="s">
        <v>90</v>
      </c>
      <c r="L27" s="14">
        <v>690</v>
      </c>
      <c r="M27" s="14">
        <v>38</v>
      </c>
      <c r="N27" s="14" t="s">
        <v>11</v>
      </c>
    </row>
    <row r="28" spans="1:14" x14ac:dyDescent="0.35">
      <c r="A28" s="1">
        <f>'Task3 Orders'!A28</f>
        <v>46241</v>
      </c>
      <c r="B28">
        <f>'Task3 Orders'!E28</f>
        <v>40</v>
      </c>
      <c r="C28">
        <f>'Task3 Orders'!D28</f>
        <v>610</v>
      </c>
      <c r="D28">
        <v>4</v>
      </c>
      <c r="E28" t="str">
        <f>IF(OR(B28&lt;'Stats Summary'!$B$12,B28&gt;'Stats Summary'!$B$13),"Yes","No")</f>
        <v>No</v>
      </c>
      <c r="I28" s="32">
        <v>46241</v>
      </c>
      <c r="J28" s="7" t="s">
        <v>14</v>
      </c>
      <c r="K28" s="7" t="s">
        <v>82</v>
      </c>
      <c r="L28" s="7">
        <v>610</v>
      </c>
      <c r="M28" s="7">
        <v>40</v>
      </c>
      <c r="N28" s="7" t="s">
        <v>11</v>
      </c>
    </row>
    <row r="29" spans="1:14" x14ac:dyDescent="0.35">
      <c r="A29" s="1">
        <f>'Task3 Orders'!A29</f>
        <v>46242</v>
      </c>
      <c r="B29">
        <f>'Task3 Orders'!E29</f>
        <v>33</v>
      </c>
      <c r="C29">
        <f>'Task3 Orders'!D29</f>
        <v>880</v>
      </c>
      <c r="D29">
        <v>5</v>
      </c>
      <c r="E29" t="str">
        <f>IF(OR(B29&lt;'Stats Summary'!$B$12,B29&gt;'Stats Summary'!$B$13),"Yes","No")</f>
        <v>No</v>
      </c>
      <c r="I29" s="33">
        <v>46242</v>
      </c>
      <c r="J29" s="14" t="s">
        <v>17</v>
      </c>
      <c r="K29" s="14" t="s">
        <v>86</v>
      </c>
      <c r="L29" s="14">
        <v>880</v>
      </c>
      <c r="M29" s="14">
        <v>33</v>
      </c>
      <c r="N29" s="14" t="s">
        <v>11</v>
      </c>
    </row>
    <row r="30" spans="1:14" x14ac:dyDescent="0.35">
      <c r="A30" s="1">
        <f>'Task3 Orders'!A30</f>
        <v>46243</v>
      </c>
      <c r="B30">
        <f>'Task3 Orders'!E30</f>
        <v>47</v>
      </c>
      <c r="C30">
        <f>'Task3 Orders'!D30</f>
        <v>495</v>
      </c>
      <c r="D30">
        <v>3</v>
      </c>
      <c r="E30" t="str">
        <f>IF(OR(B30&lt;'Stats Summary'!$B$12,B30&gt;'Stats Summary'!$B$13),"Yes","No")</f>
        <v>No</v>
      </c>
      <c r="I30" s="32">
        <v>46243</v>
      </c>
      <c r="J30" s="7" t="s">
        <v>21</v>
      </c>
      <c r="K30" s="7" t="s">
        <v>97</v>
      </c>
      <c r="L30" s="7">
        <v>495</v>
      </c>
      <c r="M30" s="7">
        <v>47</v>
      </c>
      <c r="N30" s="7" t="s">
        <v>18</v>
      </c>
    </row>
    <row r="31" spans="1:14" x14ac:dyDescent="0.35">
      <c r="A31" s="1">
        <f>'Task3 Orders'!A31</f>
        <v>46244</v>
      </c>
      <c r="B31">
        <f>'Task3 Orders'!E31</f>
        <v>30</v>
      </c>
      <c r="C31">
        <f>'Task3 Orders'!D31</f>
        <v>430</v>
      </c>
      <c r="D31">
        <v>4</v>
      </c>
      <c r="E31" t="str">
        <f>IF(OR(B31&lt;'Stats Summary'!$B$12,B31&gt;'Stats Summary'!$B$13),"Yes","No")</f>
        <v>No</v>
      </c>
      <c r="I31" s="33">
        <v>46244</v>
      </c>
      <c r="J31" s="14" t="s">
        <v>24</v>
      </c>
      <c r="K31" s="14" t="s">
        <v>94</v>
      </c>
      <c r="L31" s="14">
        <v>430</v>
      </c>
      <c r="M31" s="14">
        <v>30</v>
      </c>
      <c r="N31" s="14" t="s">
        <v>11</v>
      </c>
    </row>
    <row r="32" spans="1:14" x14ac:dyDescent="0.35">
      <c r="A32" s="1">
        <f>'Task3 Orders'!A32</f>
        <v>46245</v>
      </c>
      <c r="B32">
        <f>'Task3 Orders'!E32</f>
        <v>27</v>
      </c>
      <c r="C32">
        <f>'Task3 Orders'!D32</f>
        <v>730</v>
      </c>
      <c r="D32">
        <v>5</v>
      </c>
      <c r="E32" t="str">
        <f>IF(OR(B32&lt;'Stats Summary'!$B$12,B32&gt;'Stats Summary'!$B$13),"Yes","No")</f>
        <v>No</v>
      </c>
      <c r="I32" s="32">
        <v>46245</v>
      </c>
      <c r="J32" s="7" t="s">
        <v>10</v>
      </c>
      <c r="K32" s="7" t="s">
        <v>82</v>
      </c>
      <c r="L32" s="7">
        <v>730</v>
      </c>
      <c r="M32" s="7">
        <v>27</v>
      </c>
      <c r="N32" s="7" t="s">
        <v>11</v>
      </c>
    </row>
    <row r="33" spans="1:14" x14ac:dyDescent="0.35">
      <c r="A33" s="1">
        <f>'Task3 Orders'!A33</f>
        <v>46246</v>
      </c>
      <c r="B33">
        <f>'Task3 Orders'!E33</f>
        <v>45</v>
      </c>
      <c r="C33">
        <f>'Task3 Orders'!D33</f>
        <v>550</v>
      </c>
      <c r="D33">
        <v>4</v>
      </c>
      <c r="E33" t="str">
        <f>IF(OR(B33&lt;'Stats Summary'!$B$12,B33&gt;'Stats Summary'!$B$13),"Yes","No")</f>
        <v>No</v>
      </c>
      <c r="I33" s="33">
        <v>46246</v>
      </c>
      <c r="J33" s="14" t="s">
        <v>14</v>
      </c>
      <c r="K33" s="14" t="s">
        <v>86</v>
      </c>
      <c r="L33" s="14">
        <v>550</v>
      </c>
      <c r="M33" s="14">
        <v>45</v>
      </c>
      <c r="N33" s="14" t="s">
        <v>11</v>
      </c>
    </row>
    <row r="34" spans="1:14" x14ac:dyDescent="0.35">
      <c r="A34" s="1">
        <f>'Task3 Orders'!A34</f>
        <v>46247</v>
      </c>
      <c r="B34">
        <f>'Task3 Orders'!E34</f>
        <v>36</v>
      </c>
      <c r="C34">
        <f>'Task3 Orders'!D34</f>
        <v>810</v>
      </c>
      <c r="D34">
        <v>5</v>
      </c>
      <c r="E34" t="str">
        <f>IF(OR(B34&lt;'Stats Summary'!$B$12,B34&gt;'Stats Summary'!$B$13),"Yes","No")</f>
        <v>No</v>
      </c>
      <c r="I34" s="32">
        <v>46247</v>
      </c>
      <c r="J34" s="7" t="s">
        <v>17</v>
      </c>
      <c r="K34" s="7" t="s">
        <v>90</v>
      </c>
      <c r="L34" s="7">
        <v>810</v>
      </c>
      <c r="M34" s="7">
        <v>36</v>
      </c>
      <c r="N34" s="7" t="s">
        <v>11</v>
      </c>
    </row>
    <row r="35" spans="1:14" x14ac:dyDescent="0.35">
      <c r="A35" s="1">
        <f>'Task3 Orders'!A35</f>
        <v>46248</v>
      </c>
      <c r="B35">
        <f>'Task3 Orders'!E35</f>
        <v>52</v>
      </c>
      <c r="C35">
        <f>'Task3 Orders'!D35</f>
        <v>580</v>
      </c>
      <c r="D35">
        <v>3</v>
      </c>
      <c r="E35" t="str">
        <f>IF(OR(B35&lt;'Stats Summary'!$B$12,B35&gt;'Stats Summary'!$B$13),"Yes","No")</f>
        <v>No</v>
      </c>
      <c r="I35" s="33">
        <v>46248</v>
      </c>
      <c r="J35" s="14" t="s">
        <v>21</v>
      </c>
      <c r="K35" s="14" t="s">
        <v>94</v>
      </c>
      <c r="L35" s="14">
        <v>580</v>
      </c>
      <c r="M35" s="14">
        <v>52</v>
      </c>
      <c r="N35" s="14" t="s">
        <v>18</v>
      </c>
    </row>
    <row r="36" spans="1:14" x14ac:dyDescent="0.35">
      <c r="A36" s="1">
        <f>'Task3 Orders'!A36</f>
        <v>46249</v>
      </c>
      <c r="B36">
        <f>'Task3 Orders'!E36</f>
        <v>28</v>
      </c>
      <c r="C36">
        <f>'Task3 Orders'!D36</f>
        <v>370</v>
      </c>
      <c r="D36">
        <v>4</v>
      </c>
      <c r="E36" t="str">
        <f>IF(OR(B36&lt;'Stats Summary'!$B$12,B36&gt;'Stats Summary'!$B$13),"Yes","No")</f>
        <v>No</v>
      </c>
      <c r="I36" s="32">
        <v>46249</v>
      </c>
      <c r="J36" s="7" t="s">
        <v>24</v>
      </c>
      <c r="K36" s="7" t="s">
        <v>97</v>
      </c>
      <c r="L36" s="7">
        <v>370</v>
      </c>
      <c r="M36" s="7">
        <v>28</v>
      </c>
      <c r="N36" s="7" t="s">
        <v>11</v>
      </c>
    </row>
    <row r="37" spans="1:14" x14ac:dyDescent="0.35">
      <c r="A37" s="1">
        <f>'Task3 Orders'!A37</f>
        <v>46266</v>
      </c>
      <c r="B37">
        <f>'Task3 Orders'!E37</f>
        <v>34</v>
      </c>
      <c r="C37">
        <f>'Task3 Orders'!D37</f>
        <v>670</v>
      </c>
      <c r="D37">
        <v>4</v>
      </c>
      <c r="E37" t="str">
        <f>IF(OR(B37&lt;'Stats Summary'!$B$12,B37&gt;'Stats Summary'!$B$13),"Yes","No")</f>
        <v>No</v>
      </c>
      <c r="I37" s="33">
        <v>46266</v>
      </c>
      <c r="J37" s="14" t="s">
        <v>10</v>
      </c>
      <c r="K37" s="14" t="s">
        <v>90</v>
      </c>
      <c r="L37" s="14">
        <v>670</v>
      </c>
      <c r="M37" s="14">
        <v>34</v>
      </c>
      <c r="N37" s="14" t="s">
        <v>11</v>
      </c>
    </row>
    <row r="38" spans="1:14" x14ac:dyDescent="0.35">
      <c r="A38" s="1">
        <f>'Task3 Orders'!A38</f>
        <v>46267</v>
      </c>
      <c r="B38">
        <f>'Task3 Orders'!E38</f>
        <v>42</v>
      </c>
      <c r="C38">
        <f>'Task3 Orders'!D38</f>
        <v>500</v>
      </c>
      <c r="D38">
        <v>5</v>
      </c>
      <c r="E38" t="str">
        <f>IF(OR(B38&lt;'Stats Summary'!$B$12,B38&gt;'Stats Summary'!$B$13),"Yes","No")</f>
        <v>No</v>
      </c>
      <c r="I38" s="32">
        <v>46267</v>
      </c>
      <c r="J38" s="7" t="s">
        <v>14</v>
      </c>
      <c r="K38" s="7" t="s">
        <v>82</v>
      </c>
      <c r="L38" s="7">
        <v>500</v>
      </c>
      <c r="M38" s="7">
        <v>42</v>
      </c>
      <c r="N38" s="7" t="s">
        <v>11</v>
      </c>
    </row>
    <row r="39" spans="1:14" x14ac:dyDescent="0.35">
      <c r="A39" s="1">
        <f>'Task3 Orders'!A39</f>
        <v>46268</v>
      </c>
      <c r="B39">
        <f>'Task3 Orders'!E39</f>
        <v>29</v>
      </c>
      <c r="C39">
        <f>'Task3 Orders'!D39</f>
        <v>940</v>
      </c>
      <c r="D39">
        <v>4</v>
      </c>
      <c r="E39" t="str">
        <f>IF(OR(B39&lt;'Stats Summary'!$B$12,B39&gt;'Stats Summary'!$B$13),"Yes","No")</f>
        <v>No</v>
      </c>
      <c r="I39" s="33">
        <v>46268</v>
      </c>
      <c r="J39" s="14" t="s">
        <v>17</v>
      </c>
      <c r="K39" s="14" t="s">
        <v>86</v>
      </c>
      <c r="L39" s="14">
        <v>940</v>
      </c>
      <c r="M39" s="14">
        <v>29</v>
      </c>
      <c r="N39" s="14" t="s">
        <v>11</v>
      </c>
    </row>
    <row r="40" spans="1:14" x14ac:dyDescent="0.35">
      <c r="A40" s="1">
        <f>'Task3 Orders'!A40</f>
        <v>46269</v>
      </c>
      <c r="B40">
        <f>'Task3 Orders'!E40</f>
        <v>50</v>
      </c>
      <c r="C40">
        <f>'Task3 Orders'!D40</f>
        <v>520</v>
      </c>
      <c r="D40">
        <v>3</v>
      </c>
      <c r="E40" t="str">
        <f>IF(OR(B40&lt;'Stats Summary'!$B$12,B40&gt;'Stats Summary'!$B$13),"Yes","No")</f>
        <v>No</v>
      </c>
      <c r="I40" s="32">
        <v>46269</v>
      </c>
      <c r="J40" s="7" t="s">
        <v>21</v>
      </c>
      <c r="K40" s="7" t="s">
        <v>97</v>
      </c>
      <c r="L40" s="7">
        <v>520</v>
      </c>
      <c r="M40" s="7">
        <v>50</v>
      </c>
      <c r="N40" s="7" t="s">
        <v>18</v>
      </c>
    </row>
    <row r="41" spans="1:14" x14ac:dyDescent="0.35">
      <c r="A41" s="1">
        <f>'Task3 Orders'!A41</f>
        <v>46270</v>
      </c>
      <c r="B41">
        <f>'Task3 Orders'!E41</f>
        <v>31</v>
      </c>
      <c r="C41">
        <f>'Task3 Orders'!D41</f>
        <v>410</v>
      </c>
      <c r="D41">
        <v>5</v>
      </c>
      <c r="E41" t="str">
        <f>IF(OR(B41&lt;'Stats Summary'!$B$12,B41&gt;'Stats Summary'!$B$13),"Yes","No")</f>
        <v>No</v>
      </c>
      <c r="I41" s="33">
        <v>46270</v>
      </c>
      <c r="J41" s="14" t="s">
        <v>24</v>
      </c>
      <c r="K41" s="14" t="s">
        <v>94</v>
      </c>
      <c r="L41" s="14">
        <v>410</v>
      </c>
      <c r="M41" s="14">
        <v>31</v>
      </c>
      <c r="N41" s="14" t="s">
        <v>11</v>
      </c>
    </row>
    <row r="42" spans="1:14" x14ac:dyDescent="0.35">
      <c r="A42" s="1">
        <f>'Task3 Orders'!A42</f>
        <v>46271</v>
      </c>
      <c r="B42">
        <f>'Task3 Orders'!E42</f>
        <v>30</v>
      </c>
      <c r="C42">
        <f>'Task3 Orders'!D42</f>
        <v>760</v>
      </c>
      <c r="D42">
        <v>4</v>
      </c>
      <c r="E42" t="str">
        <f>IF(OR(B42&lt;'Stats Summary'!$B$12,B42&gt;'Stats Summary'!$B$13),"Yes","No")</f>
        <v>No</v>
      </c>
      <c r="I42" s="32">
        <v>46271</v>
      </c>
      <c r="J42" s="7" t="s">
        <v>10</v>
      </c>
      <c r="K42" s="7" t="s">
        <v>82</v>
      </c>
      <c r="L42" s="7">
        <v>760</v>
      </c>
      <c r="M42" s="7">
        <v>30</v>
      </c>
      <c r="N42" s="7" t="s">
        <v>11</v>
      </c>
    </row>
    <row r="43" spans="1:14" x14ac:dyDescent="0.35">
      <c r="A43" s="1">
        <f>'Task3 Orders'!A43</f>
        <v>46272</v>
      </c>
      <c r="B43">
        <f>'Task3 Orders'!E43</f>
        <v>39</v>
      </c>
      <c r="C43">
        <f>'Task3 Orders'!D43</f>
        <v>570</v>
      </c>
      <c r="D43">
        <v>4</v>
      </c>
      <c r="E43" t="str">
        <f>IF(OR(B43&lt;'Stats Summary'!$B$12,B43&gt;'Stats Summary'!$B$13),"Yes","No")</f>
        <v>No</v>
      </c>
      <c r="I43" s="33">
        <v>46272</v>
      </c>
      <c r="J43" s="14" t="s">
        <v>14</v>
      </c>
      <c r="K43" s="14" t="s">
        <v>86</v>
      </c>
      <c r="L43" s="14">
        <v>570</v>
      </c>
      <c r="M43" s="14">
        <v>39</v>
      </c>
      <c r="N43" s="14" t="s">
        <v>11</v>
      </c>
    </row>
    <row r="44" spans="1:14" x14ac:dyDescent="0.35">
      <c r="A44" s="1">
        <f>'Task3 Orders'!A44</f>
        <v>46273</v>
      </c>
      <c r="B44">
        <f>'Task3 Orders'!E44</f>
        <v>35</v>
      </c>
      <c r="C44">
        <f>'Task3 Orders'!D44</f>
        <v>830</v>
      </c>
      <c r="D44">
        <v>5</v>
      </c>
      <c r="E44" t="str">
        <f>IF(OR(B44&lt;'Stats Summary'!$B$12,B44&gt;'Stats Summary'!$B$13),"Yes","No")</f>
        <v>No</v>
      </c>
      <c r="I44" s="32">
        <v>46273</v>
      </c>
      <c r="J44" s="7" t="s">
        <v>17</v>
      </c>
      <c r="K44" s="7" t="s">
        <v>90</v>
      </c>
      <c r="L44" s="7">
        <v>830</v>
      </c>
      <c r="M44" s="7">
        <v>35</v>
      </c>
      <c r="N44" s="7" t="s">
        <v>11</v>
      </c>
    </row>
    <row r="45" spans="1:14" x14ac:dyDescent="0.35">
      <c r="A45" s="1">
        <f>'Task3 Orders'!A45</f>
        <v>46274</v>
      </c>
      <c r="B45">
        <f>'Task3 Orders'!E45</f>
        <v>54</v>
      </c>
      <c r="C45">
        <f>'Task3 Orders'!D45</f>
        <v>610</v>
      </c>
      <c r="D45">
        <v>3</v>
      </c>
      <c r="E45" t="str">
        <f>IF(OR(B45&lt;'Stats Summary'!$B$12,B45&gt;'Stats Summary'!$B$13),"Yes","No")</f>
        <v>No</v>
      </c>
      <c r="I45" s="33">
        <v>46274</v>
      </c>
      <c r="J45" s="14" t="s">
        <v>21</v>
      </c>
      <c r="K45" s="14" t="s">
        <v>94</v>
      </c>
      <c r="L45" s="14">
        <v>610</v>
      </c>
      <c r="M45" s="14">
        <v>54</v>
      </c>
      <c r="N45" s="14" t="s">
        <v>18</v>
      </c>
    </row>
    <row r="46" spans="1:14" x14ac:dyDescent="0.35">
      <c r="A46" s="1">
        <f>'Task3 Orders'!A46</f>
        <v>46275</v>
      </c>
      <c r="B46">
        <f>'Task3 Orders'!E46</f>
        <v>27</v>
      </c>
      <c r="C46">
        <f>'Task3 Orders'!D46</f>
        <v>380</v>
      </c>
      <c r="D46">
        <v>4</v>
      </c>
      <c r="E46" t="str">
        <f>IF(OR(B46&lt;'Stats Summary'!$B$12,B46&gt;'Stats Summary'!$B$13),"Yes","No")</f>
        <v>No</v>
      </c>
      <c r="I46" s="32">
        <v>46275</v>
      </c>
      <c r="J46" s="7" t="s">
        <v>24</v>
      </c>
      <c r="K46" s="7" t="s">
        <v>97</v>
      </c>
      <c r="L46" s="7">
        <v>380</v>
      </c>
      <c r="M46" s="7">
        <v>27</v>
      </c>
      <c r="N46" s="7" t="s">
        <v>11</v>
      </c>
    </row>
    <row r="47" spans="1:14" x14ac:dyDescent="0.35">
      <c r="A47" s="1">
        <f>'Task3 Orders'!A47</f>
        <v>46276</v>
      </c>
      <c r="B47">
        <f>'Task3 Orders'!E47</f>
        <v>32</v>
      </c>
      <c r="C47">
        <f>'Task3 Orders'!D47</f>
        <v>700</v>
      </c>
      <c r="D47">
        <v>5</v>
      </c>
      <c r="E47" t="str">
        <f>IF(OR(B47&lt;'Stats Summary'!$B$12,B47&gt;'Stats Summary'!$B$13),"Yes","No")</f>
        <v>No</v>
      </c>
      <c r="I47" s="33">
        <v>46276</v>
      </c>
      <c r="J47" s="14" t="s">
        <v>10</v>
      </c>
      <c r="K47" s="14" t="s">
        <v>86</v>
      </c>
      <c r="L47" s="14">
        <v>700</v>
      </c>
      <c r="M47" s="14">
        <v>32</v>
      </c>
      <c r="N47" s="14" t="s">
        <v>11</v>
      </c>
    </row>
    <row r="48" spans="1:14" x14ac:dyDescent="0.35">
      <c r="A48" s="1">
        <f>'Task3 Orders'!A48</f>
        <v>46277</v>
      </c>
      <c r="B48">
        <f>'Task3 Orders'!E48</f>
        <v>44</v>
      </c>
      <c r="C48">
        <f>'Task3 Orders'!D48</f>
        <v>540</v>
      </c>
      <c r="D48">
        <v>4</v>
      </c>
      <c r="E48" t="str">
        <f>IF(OR(B48&lt;'Stats Summary'!$B$12,B48&gt;'Stats Summary'!$B$13),"Yes","No")</f>
        <v>No</v>
      </c>
      <c r="I48" s="32">
        <v>46277</v>
      </c>
      <c r="J48" s="7" t="s">
        <v>14</v>
      </c>
      <c r="K48" s="7" t="s">
        <v>90</v>
      </c>
      <c r="L48" s="7">
        <v>540</v>
      </c>
      <c r="M48" s="7">
        <v>44</v>
      </c>
      <c r="N48" s="7" t="s">
        <v>11</v>
      </c>
    </row>
    <row r="49" spans="1:14" x14ac:dyDescent="0.35">
      <c r="A49" s="1">
        <f>'Task3 Orders'!A49</f>
        <v>46278</v>
      </c>
      <c r="B49">
        <f>'Task3 Orders'!E49</f>
        <v>31</v>
      </c>
      <c r="C49">
        <f>'Task3 Orders'!D49</f>
        <v>900</v>
      </c>
      <c r="D49">
        <v>5</v>
      </c>
      <c r="E49" t="str">
        <f>IF(OR(B49&lt;'Stats Summary'!$B$12,B49&gt;'Stats Summary'!$B$13),"Yes","No")</f>
        <v>No</v>
      </c>
      <c r="I49" s="33">
        <v>46278</v>
      </c>
      <c r="J49" s="14" t="s">
        <v>17</v>
      </c>
      <c r="K49" s="14" t="s">
        <v>82</v>
      </c>
      <c r="L49" s="14">
        <v>900</v>
      </c>
      <c r="M49" s="14">
        <v>31</v>
      </c>
      <c r="N49" s="14" t="s">
        <v>11</v>
      </c>
    </row>
    <row r="50" spans="1:14" x14ac:dyDescent="0.35">
      <c r="A50" s="1">
        <f>'Task3 Orders'!A50</f>
        <v>46279</v>
      </c>
      <c r="B50">
        <f>'Task3 Orders'!E50</f>
        <v>48</v>
      </c>
      <c r="C50">
        <f>'Task3 Orders'!D50</f>
        <v>560</v>
      </c>
      <c r="D50">
        <v>3</v>
      </c>
      <c r="E50" t="str">
        <f>IF(OR(B50&lt;'Stats Summary'!$B$12,B50&gt;'Stats Summary'!$B$13),"Yes","No")</f>
        <v>No</v>
      </c>
      <c r="I50" s="32">
        <v>46279</v>
      </c>
      <c r="J50" s="7" t="s">
        <v>21</v>
      </c>
      <c r="K50" s="7" t="s">
        <v>97</v>
      </c>
      <c r="L50" s="7">
        <v>560</v>
      </c>
      <c r="M50" s="7">
        <v>48</v>
      </c>
      <c r="N50" s="7" t="s">
        <v>18</v>
      </c>
    </row>
    <row r="51" spans="1:14" x14ac:dyDescent="0.35">
      <c r="A51" s="1">
        <f>'Task3 Orders'!A51</f>
        <v>46280</v>
      </c>
      <c r="B51">
        <f>'Task3 Orders'!E51</f>
        <v>29</v>
      </c>
      <c r="C51">
        <f>'Task3 Orders'!D51</f>
        <v>450</v>
      </c>
      <c r="D51">
        <v>4</v>
      </c>
      <c r="E51" t="str">
        <f>IF(OR(B51&lt;'Stats Summary'!$B$12,B51&gt;'Stats Summary'!$B$13),"Yes","No")</f>
        <v>No</v>
      </c>
      <c r="I51" s="33">
        <v>46280</v>
      </c>
      <c r="J51" s="14" t="s">
        <v>24</v>
      </c>
      <c r="K51" s="14" t="s">
        <v>94</v>
      </c>
      <c r="L51" s="14">
        <v>450</v>
      </c>
      <c r="M51" s="14">
        <v>29</v>
      </c>
      <c r="N51" s="14" t="s">
        <v>11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28C1-626F-4F60-B751-86BABF0346CF}">
  <dimension ref="A1:B13"/>
  <sheetViews>
    <sheetView workbookViewId="0">
      <selection activeCell="B16" sqref="B16"/>
    </sheetView>
  </sheetViews>
  <sheetFormatPr defaultRowHeight="14.5" x14ac:dyDescent="0.35"/>
  <cols>
    <col min="1" max="1" width="16.81640625" customWidth="1"/>
    <col min="2" max="2" width="13.26953125" customWidth="1"/>
  </cols>
  <sheetData>
    <row r="1" spans="1:2" x14ac:dyDescent="0.35">
      <c r="A1" s="34" t="s">
        <v>165</v>
      </c>
      <c r="B1" s="34" t="s">
        <v>166</v>
      </c>
    </row>
    <row r="2" spans="1:2" x14ac:dyDescent="0.35">
      <c r="A2" t="s">
        <v>167</v>
      </c>
      <c r="B2">
        <f>AVERAGE(Task4_Data!B2:B51)</f>
        <v>37</v>
      </c>
    </row>
    <row r="3" spans="1:2" x14ac:dyDescent="0.35">
      <c r="A3" t="s">
        <v>168</v>
      </c>
      <c r="B3">
        <f>MEDIAN(Task4_Data!B2:B51)</f>
        <v>35</v>
      </c>
    </row>
    <row r="4" spans="1:2" x14ac:dyDescent="0.35">
      <c r="A4" t="s">
        <v>169</v>
      </c>
      <c r="B4">
        <f>_xlfn.MODE.SNGL(Task4_Data!B2:B51)</f>
        <v>31</v>
      </c>
    </row>
    <row r="5" spans="1:2" x14ac:dyDescent="0.35">
      <c r="A5" t="s">
        <v>170</v>
      </c>
      <c r="B5" s="17">
        <f>_xlfn.STDEV.S(Task4_Data!B2:B51)</f>
        <v>8.2906389305982344</v>
      </c>
    </row>
    <row r="6" spans="1:2" x14ac:dyDescent="0.35">
      <c r="A6" t="s">
        <v>171</v>
      </c>
      <c r="B6" s="17">
        <f>_xlfn.VAR.S(Task4_Data!B2:B51)</f>
        <v>68.734693877551024</v>
      </c>
    </row>
    <row r="7" spans="1:2" x14ac:dyDescent="0.35">
      <c r="A7" t="s">
        <v>172</v>
      </c>
      <c r="B7">
        <f>MIN(Task4_Data!B2:B51)</f>
        <v>25</v>
      </c>
    </row>
    <row r="8" spans="1:2" x14ac:dyDescent="0.35">
      <c r="A8" t="s">
        <v>173</v>
      </c>
      <c r="B8">
        <f>MAX(Task4_Data!B2:B51)</f>
        <v>54</v>
      </c>
    </row>
    <row r="9" spans="1:2" x14ac:dyDescent="0.35">
      <c r="A9" t="s">
        <v>174</v>
      </c>
      <c r="B9">
        <f>_xlfn.QUARTILE.INC(Task4_Data!B2:B51,1)</f>
        <v>30</v>
      </c>
    </row>
    <row r="10" spans="1:2" x14ac:dyDescent="0.35">
      <c r="A10" t="s">
        <v>175</v>
      </c>
      <c r="B10">
        <f>_xlfn.QUARTILE.INC(Task4_Data!B2:B51,3)</f>
        <v>43.75</v>
      </c>
    </row>
    <row r="11" spans="1:2" x14ac:dyDescent="0.35">
      <c r="A11" s="35" t="s">
        <v>176</v>
      </c>
      <c r="B11">
        <f>B10-B9</f>
        <v>13.75</v>
      </c>
    </row>
    <row r="12" spans="1:2" x14ac:dyDescent="0.35">
      <c r="A12" s="35" t="s">
        <v>177</v>
      </c>
      <c r="B12">
        <f>B9-(1.5*B11)</f>
        <v>9.375</v>
      </c>
    </row>
    <row r="13" spans="1:2" x14ac:dyDescent="0.35">
      <c r="A13" s="35" t="s">
        <v>178</v>
      </c>
      <c r="B13">
        <f>B10+(1.5*B11)</f>
        <v>64.375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BCF00-0BE3-4D5C-B647-6DEF9AA6351C}">
  <dimension ref="A1:K121"/>
  <sheetViews>
    <sheetView tabSelected="1" topLeftCell="A9" workbookViewId="0">
      <selection activeCell="M19" sqref="M19"/>
    </sheetView>
  </sheetViews>
  <sheetFormatPr defaultRowHeight="14.5" x14ac:dyDescent="0.35"/>
  <cols>
    <col min="1" max="1" width="10" customWidth="1"/>
    <col min="2" max="2" width="14.81640625" customWidth="1"/>
    <col min="3" max="3" width="10.6328125" customWidth="1"/>
    <col min="5" max="5" width="11.81640625" customWidth="1"/>
    <col min="6" max="6" width="14.54296875" customWidth="1"/>
    <col min="7" max="7" width="9" customWidth="1"/>
    <col min="8" max="8" width="10.90625" customWidth="1"/>
    <col min="10" max="10" width="18.90625" customWidth="1"/>
    <col min="11" max="11" width="11.81640625" customWidth="1"/>
  </cols>
  <sheetData>
    <row r="1" spans="1:11" x14ac:dyDescent="0.35">
      <c r="A1" s="13" t="s">
        <v>123</v>
      </c>
      <c r="B1" s="13" t="s">
        <v>124</v>
      </c>
      <c r="C1" s="13" t="s">
        <v>126</v>
      </c>
      <c r="D1" s="13" t="s">
        <v>148</v>
      </c>
      <c r="E1" s="13" t="s">
        <v>3</v>
      </c>
      <c r="F1" s="13" t="s">
        <v>128</v>
      </c>
      <c r="G1" s="13" t="s">
        <v>181</v>
      </c>
      <c r="H1" s="13" t="s">
        <v>149</v>
      </c>
      <c r="I1" s="13" t="s">
        <v>129</v>
      </c>
      <c r="J1" s="13" t="s">
        <v>302</v>
      </c>
      <c r="K1" s="13" t="s">
        <v>303</v>
      </c>
    </row>
    <row r="2" spans="1:11" x14ac:dyDescent="0.35">
      <c r="A2" t="s">
        <v>182</v>
      </c>
      <c r="B2" t="s">
        <v>80</v>
      </c>
      <c r="C2" t="s">
        <v>10</v>
      </c>
      <c r="D2" t="s">
        <v>82</v>
      </c>
      <c r="E2" s="1">
        <v>46204</v>
      </c>
      <c r="F2">
        <v>32</v>
      </c>
      <c r="G2">
        <v>4</v>
      </c>
      <c r="H2">
        <v>620</v>
      </c>
      <c r="I2" t="s">
        <v>11</v>
      </c>
      <c r="J2" t="str">
        <f>_xlfn.XLOOKUP(B2,Restaurants!$A$2:$A$16,Restaurants!$B$2:$B$16,"Unknown")</f>
        <v>Spice Hub</v>
      </c>
      <c r="K2" t="str">
        <f>_xlfn.XLOOKUP(B2,Restaurants!$A$2:$A$16,Restaurants!$D$2:$D$16,"Unknown")</f>
        <v>Cloud Kitchen</v>
      </c>
    </row>
    <row r="3" spans="1:11" x14ac:dyDescent="0.35">
      <c r="A3" t="s">
        <v>183</v>
      </c>
      <c r="B3" t="s">
        <v>84</v>
      </c>
      <c r="C3" t="s">
        <v>14</v>
      </c>
      <c r="D3" t="s">
        <v>86</v>
      </c>
      <c r="E3" s="1">
        <v>46205</v>
      </c>
      <c r="F3">
        <v>41</v>
      </c>
      <c r="G3">
        <v>4</v>
      </c>
      <c r="H3">
        <v>480</v>
      </c>
      <c r="I3" t="s">
        <v>11</v>
      </c>
      <c r="J3" t="str">
        <f>_xlfn.XLOOKUP(B3,Restaurants!$A$2:$A$16,Restaurants!$B$2:$B$16,"Unknown")</f>
        <v>Dragon Bowl</v>
      </c>
      <c r="K3" t="str">
        <f>_xlfn.XLOOKUP(B3,Restaurants!$A$2:$A$16,Restaurants!$D$2:$D$16,"Unknown")</f>
        <v>QSR</v>
      </c>
    </row>
    <row r="4" spans="1:11" x14ac:dyDescent="0.35">
      <c r="A4" t="s">
        <v>184</v>
      </c>
      <c r="B4" t="s">
        <v>88</v>
      </c>
      <c r="C4" t="s">
        <v>17</v>
      </c>
      <c r="D4" t="s">
        <v>90</v>
      </c>
      <c r="E4" s="1">
        <v>46206</v>
      </c>
      <c r="F4">
        <v>28</v>
      </c>
      <c r="G4">
        <v>5</v>
      </c>
      <c r="H4">
        <v>750</v>
      </c>
      <c r="I4" t="s">
        <v>11</v>
      </c>
      <c r="J4" t="str">
        <f>_xlfn.XLOOKUP(B4,Restaurants!$A$2:$A$16,Restaurants!$B$2:$B$16,"Unknown")</f>
        <v>Pasta Point</v>
      </c>
      <c r="K4" t="str">
        <f>_xlfn.XLOOKUP(B4,Restaurants!$A$2:$A$16,Restaurants!$D$2:$D$16,"Unknown")</f>
        <v>Dine-in</v>
      </c>
    </row>
    <row r="5" spans="1:11" x14ac:dyDescent="0.35">
      <c r="A5" t="s">
        <v>185</v>
      </c>
      <c r="B5" t="s">
        <v>92</v>
      </c>
      <c r="C5" t="s">
        <v>21</v>
      </c>
      <c r="D5" t="s">
        <v>94</v>
      </c>
      <c r="E5" s="1">
        <v>46207</v>
      </c>
      <c r="F5">
        <v>52</v>
      </c>
      <c r="G5">
        <v>3</v>
      </c>
      <c r="H5">
        <v>390</v>
      </c>
      <c r="I5" t="s">
        <v>18</v>
      </c>
      <c r="J5" t="str">
        <f>_xlfn.XLOOKUP(B5,Restaurants!$A$2:$A$16,Restaurants!$B$2:$B$16,"Unknown")</f>
        <v>Taco Town</v>
      </c>
      <c r="K5" t="str">
        <f>_xlfn.XLOOKUP(B5,Restaurants!$A$2:$A$16,Restaurants!$D$2:$D$16,"Unknown")</f>
        <v>QSR</v>
      </c>
    </row>
    <row r="6" spans="1:11" x14ac:dyDescent="0.35">
      <c r="A6" t="s">
        <v>186</v>
      </c>
      <c r="B6" t="s">
        <v>95</v>
      </c>
      <c r="C6" t="s">
        <v>24</v>
      </c>
      <c r="D6" t="s">
        <v>97</v>
      </c>
      <c r="E6" s="1">
        <v>46208</v>
      </c>
      <c r="F6">
        <v>35</v>
      </c>
      <c r="G6">
        <v>4</v>
      </c>
      <c r="H6">
        <v>540</v>
      </c>
      <c r="I6" t="s">
        <v>11</v>
      </c>
      <c r="J6" t="str">
        <f>_xlfn.XLOOKUP(B6,Restaurants!$A$2:$A$16,Restaurants!$B$2:$B$16,"Unknown")</f>
        <v>Curry House</v>
      </c>
      <c r="K6" t="str">
        <f>_xlfn.XLOOKUP(B6,Restaurants!$A$2:$A$16,Restaurants!$D$2:$D$16,"Unknown")</f>
        <v>Dine-in</v>
      </c>
    </row>
    <row r="7" spans="1:11" x14ac:dyDescent="0.35">
      <c r="A7" t="s">
        <v>187</v>
      </c>
      <c r="B7" t="s">
        <v>98</v>
      </c>
      <c r="C7" t="s">
        <v>10</v>
      </c>
      <c r="D7" t="s">
        <v>82</v>
      </c>
      <c r="E7" s="1">
        <v>46209</v>
      </c>
      <c r="F7">
        <v>29</v>
      </c>
      <c r="G7">
        <v>5</v>
      </c>
      <c r="H7">
        <v>680</v>
      </c>
      <c r="I7" t="s">
        <v>11</v>
      </c>
      <c r="J7" t="str">
        <f>_xlfn.XLOOKUP(B7,Restaurants!$A$2:$A$16,Restaurants!$B$2:$B$16,"Unknown")</f>
        <v>Desi Zaika</v>
      </c>
      <c r="K7" t="str">
        <f>_xlfn.XLOOKUP(B7,Restaurants!$A$2:$A$16,Restaurants!$D$2:$D$16,"Unknown")</f>
        <v>QSR</v>
      </c>
    </row>
    <row r="8" spans="1:11" x14ac:dyDescent="0.35">
      <c r="A8" t="s">
        <v>188</v>
      </c>
      <c r="B8" t="s">
        <v>100</v>
      </c>
      <c r="C8" t="s">
        <v>14</v>
      </c>
      <c r="D8" t="s">
        <v>86</v>
      </c>
      <c r="E8" s="1">
        <v>46210</v>
      </c>
      <c r="F8">
        <v>46</v>
      </c>
      <c r="G8">
        <v>3</v>
      </c>
      <c r="H8">
        <v>430</v>
      </c>
      <c r="I8" t="s">
        <v>18</v>
      </c>
      <c r="J8" t="str">
        <f>_xlfn.XLOOKUP(B8,Restaurants!$A$2:$A$16,Restaurants!$B$2:$B$16,"Unknown")</f>
        <v>China Garden</v>
      </c>
      <c r="K8" t="str">
        <f>_xlfn.XLOOKUP(B8,Restaurants!$A$2:$A$16,Restaurants!$D$2:$D$16,"Unknown")</f>
        <v>Dine-in</v>
      </c>
    </row>
    <row r="9" spans="1:11" x14ac:dyDescent="0.35">
      <c r="A9" t="s">
        <v>189</v>
      </c>
      <c r="B9" t="s">
        <v>102</v>
      </c>
      <c r="C9" t="s">
        <v>17</v>
      </c>
      <c r="D9" t="s">
        <v>90</v>
      </c>
      <c r="E9" s="1">
        <v>46211</v>
      </c>
      <c r="F9">
        <v>31</v>
      </c>
      <c r="G9">
        <v>4</v>
      </c>
      <c r="H9">
        <v>720</v>
      </c>
      <c r="I9" t="s">
        <v>11</v>
      </c>
      <c r="J9" t="str">
        <f>_xlfn.XLOOKUP(B9,Restaurants!$A$2:$A$16,Restaurants!$B$2:$B$16,"Unknown")</f>
        <v>Italiano</v>
      </c>
      <c r="K9" t="str">
        <f>_xlfn.XLOOKUP(B9,Restaurants!$A$2:$A$16,Restaurants!$D$2:$D$16,"Unknown")</f>
        <v>Cloud Kitchen</v>
      </c>
    </row>
    <row r="10" spans="1:11" x14ac:dyDescent="0.35">
      <c r="A10" t="s">
        <v>190</v>
      </c>
      <c r="B10" t="s">
        <v>104</v>
      </c>
      <c r="C10" t="s">
        <v>21</v>
      </c>
      <c r="D10" t="s">
        <v>94</v>
      </c>
      <c r="E10" s="1">
        <v>46212</v>
      </c>
      <c r="F10">
        <v>38</v>
      </c>
      <c r="G10">
        <v>4</v>
      </c>
      <c r="H10">
        <v>460</v>
      </c>
      <c r="I10" t="s">
        <v>11</v>
      </c>
      <c r="J10" t="str">
        <f>_xlfn.XLOOKUP(B10,Restaurants!$A$2:$A$16,Restaurants!$B$2:$B$16,"Unknown")</f>
        <v>Mexican Grill</v>
      </c>
      <c r="K10" t="str">
        <f>_xlfn.XLOOKUP(B10,Restaurants!$A$2:$A$16,Restaurants!$D$2:$D$16,"Unknown")</f>
        <v>Dine-in</v>
      </c>
    </row>
    <row r="11" spans="1:11" x14ac:dyDescent="0.35">
      <c r="A11" t="s">
        <v>191</v>
      </c>
      <c r="B11" t="s">
        <v>106</v>
      </c>
      <c r="C11" t="s">
        <v>24</v>
      </c>
      <c r="D11" t="s">
        <v>97</v>
      </c>
      <c r="E11" s="1">
        <v>46213</v>
      </c>
      <c r="F11">
        <v>44</v>
      </c>
      <c r="G11">
        <v>3</v>
      </c>
      <c r="H11">
        <v>510</v>
      </c>
      <c r="I11" t="s">
        <v>18</v>
      </c>
      <c r="J11" t="str">
        <f>_xlfn.XLOOKUP(B11,Restaurants!$A$2:$A$16,Restaurants!$B$2:$B$16,"Unknown")</f>
        <v>Food Factory</v>
      </c>
      <c r="K11" t="str">
        <f>_xlfn.XLOOKUP(B11,Restaurants!$A$2:$A$16,Restaurants!$D$2:$D$16,"Unknown")</f>
        <v>QSR</v>
      </c>
    </row>
    <row r="12" spans="1:11" x14ac:dyDescent="0.35">
      <c r="A12" t="s">
        <v>192</v>
      </c>
      <c r="B12" t="s">
        <v>108</v>
      </c>
      <c r="C12" t="s">
        <v>10</v>
      </c>
      <c r="D12" t="s">
        <v>82</v>
      </c>
      <c r="E12" s="1">
        <v>46214</v>
      </c>
      <c r="F12">
        <v>27</v>
      </c>
      <c r="G12">
        <v>5</v>
      </c>
      <c r="H12">
        <v>810</v>
      </c>
      <c r="I12" t="s">
        <v>11</v>
      </c>
      <c r="J12" t="str">
        <f>_xlfn.XLOOKUP(B12,Restaurants!$A$2:$A$16,Restaurants!$B$2:$B$16,"Unknown")</f>
        <v>Punjabi Tadka</v>
      </c>
      <c r="K12" t="str">
        <f>_xlfn.XLOOKUP(B12,Restaurants!$A$2:$A$16,Restaurants!$D$2:$D$16,"Unknown")</f>
        <v>Dine-in</v>
      </c>
    </row>
    <row r="13" spans="1:11" x14ac:dyDescent="0.35">
      <c r="A13" t="s">
        <v>193</v>
      </c>
      <c r="B13" t="s">
        <v>110</v>
      </c>
      <c r="C13" t="s">
        <v>14</v>
      </c>
      <c r="D13" t="s">
        <v>86</v>
      </c>
      <c r="E13" s="1">
        <v>46215</v>
      </c>
      <c r="F13">
        <v>39</v>
      </c>
      <c r="G13">
        <v>4</v>
      </c>
      <c r="H13">
        <v>495</v>
      </c>
      <c r="I13" t="s">
        <v>11</v>
      </c>
      <c r="J13" t="str">
        <f>_xlfn.XLOOKUP(B13,Restaurants!$A$2:$A$16,Restaurants!$B$2:$B$16,"Unknown")</f>
        <v>Wok Express</v>
      </c>
      <c r="K13" t="str">
        <f>_xlfn.XLOOKUP(B13,Restaurants!$A$2:$A$16,Restaurants!$D$2:$D$16,"Unknown")</f>
        <v>Cloud Kitchen</v>
      </c>
    </row>
    <row r="14" spans="1:11" x14ac:dyDescent="0.35">
      <c r="A14" t="s">
        <v>194</v>
      </c>
      <c r="B14" t="s">
        <v>112</v>
      </c>
      <c r="C14" t="s">
        <v>17</v>
      </c>
      <c r="D14" t="s">
        <v>90</v>
      </c>
      <c r="E14" s="1">
        <v>46216</v>
      </c>
      <c r="F14">
        <v>34</v>
      </c>
      <c r="G14">
        <v>5</v>
      </c>
      <c r="H14">
        <v>690</v>
      </c>
      <c r="I14" t="s">
        <v>11</v>
      </c>
      <c r="J14" t="str">
        <f>_xlfn.XLOOKUP(B14,Restaurants!$A$2:$A$16,Restaurants!$B$2:$B$16,"Unknown")</f>
        <v>Pizza Corner</v>
      </c>
      <c r="K14" t="str">
        <f>_xlfn.XLOOKUP(B14,Restaurants!$A$2:$A$16,Restaurants!$D$2:$D$16,"Unknown")</f>
        <v>QSR</v>
      </c>
    </row>
    <row r="15" spans="1:11" x14ac:dyDescent="0.35">
      <c r="A15" t="s">
        <v>195</v>
      </c>
      <c r="B15" t="s">
        <v>114</v>
      </c>
      <c r="C15" t="s">
        <v>21</v>
      </c>
      <c r="D15" t="s">
        <v>94</v>
      </c>
      <c r="E15" s="1">
        <v>46217</v>
      </c>
      <c r="F15">
        <v>48</v>
      </c>
      <c r="G15">
        <v>3</v>
      </c>
      <c r="H15">
        <v>420</v>
      </c>
      <c r="I15" t="s">
        <v>18</v>
      </c>
      <c r="J15" t="str">
        <f>_xlfn.XLOOKUP(B15,Restaurants!$A$2:$A$16,Restaurants!$B$2:$B$16,"Unknown")</f>
        <v>Burrito House</v>
      </c>
      <c r="K15" t="str">
        <f>_xlfn.XLOOKUP(B15,Restaurants!$A$2:$A$16,Restaurants!$D$2:$D$16,"Unknown")</f>
        <v>Cloud Kitchen</v>
      </c>
    </row>
    <row r="16" spans="1:11" x14ac:dyDescent="0.35">
      <c r="A16" t="s">
        <v>196</v>
      </c>
      <c r="B16" t="s">
        <v>116</v>
      </c>
      <c r="C16" t="s">
        <v>24</v>
      </c>
      <c r="D16" t="s">
        <v>97</v>
      </c>
      <c r="E16" s="1">
        <v>46218</v>
      </c>
      <c r="F16">
        <v>30</v>
      </c>
      <c r="G16">
        <v>4</v>
      </c>
      <c r="H16">
        <v>575</v>
      </c>
      <c r="I16" t="s">
        <v>11</v>
      </c>
      <c r="J16" t="str">
        <f>_xlfn.XLOOKUP(B16,Restaurants!$A$2:$A$16,Restaurants!$B$2:$B$16,"Unknown")</f>
        <v>Ahmedabad Bites</v>
      </c>
      <c r="K16" t="str">
        <f>_xlfn.XLOOKUP(B16,Restaurants!$A$2:$A$16,Restaurants!$D$2:$D$16,"Unknown")</f>
        <v>Dine-in</v>
      </c>
    </row>
    <row r="17" spans="1:11" x14ac:dyDescent="0.35">
      <c r="A17" t="s">
        <v>197</v>
      </c>
      <c r="B17" t="s">
        <v>80</v>
      </c>
      <c r="C17" t="s">
        <v>10</v>
      </c>
      <c r="D17" t="s">
        <v>82</v>
      </c>
      <c r="E17" s="1">
        <v>46219</v>
      </c>
      <c r="F17">
        <v>36</v>
      </c>
      <c r="G17">
        <v>4</v>
      </c>
      <c r="H17">
        <v>640</v>
      </c>
      <c r="I17" t="s">
        <v>11</v>
      </c>
      <c r="J17" t="str">
        <f>_xlfn.XLOOKUP(B17,Restaurants!$A$2:$A$16,Restaurants!$B$2:$B$16,"Unknown")</f>
        <v>Spice Hub</v>
      </c>
      <c r="K17" t="str">
        <f>_xlfn.XLOOKUP(B17,Restaurants!$A$2:$A$16,Restaurants!$D$2:$D$16,"Unknown")</f>
        <v>Cloud Kitchen</v>
      </c>
    </row>
    <row r="18" spans="1:11" x14ac:dyDescent="0.35">
      <c r="A18" t="s">
        <v>198</v>
      </c>
      <c r="B18" t="s">
        <v>84</v>
      </c>
      <c r="C18" t="s">
        <v>14</v>
      </c>
      <c r="D18" t="s">
        <v>86</v>
      </c>
      <c r="E18" s="1">
        <v>46220</v>
      </c>
      <c r="F18">
        <v>43</v>
      </c>
      <c r="G18">
        <v>3</v>
      </c>
      <c r="H18">
        <v>455</v>
      </c>
      <c r="I18" t="s">
        <v>18</v>
      </c>
      <c r="J18" t="str">
        <f>_xlfn.XLOOKUP(B18,Restaurants!$A$2:$A$16,Restaurants!$B$2:$B$16,"Unknown")</f>
        <v>Dragon Bowl</v>
      </c>
      <c r="K18" t="str">
        <f>_xlfn.XLOOKUP(B18,Restaurants!$A$2:$A$16,Restaurants!$D$2:$D$16,"Unknown")</f>
        <v>QSR</v>
      </c>
    </row>
    <row r="19" spans="1:11" x14ac:dyDescent="0.35">
      <c r="A19" t="s">
        <v>199</v>
      </c>
      <c r="B19" t="s">
        <v>88</v>
      </c>
      <c r="C19" t="s">
        <v>17</v>
      </c>
      <c r="D19" t="s">
        <v>90</v>
      </c>
      <c r="E19" s="1">
        <v>46221</v>
      </c>
      <c r="F19">
        <v>26</v>
      </c>
      <c r="G19">
        <v>5</v>
      </c>
      <c r="H19">
        <v>790</v>
      </c>
      <c r="I19" t="s">
        <v>11</v>
      </c>
      <c r="J19" t="str">
        <f>_xlfn.XLOOKUP(B19,Restaurants!$A$2:$A$16,Restaurants!$B$2:$B$16,"Unknown")</f>
        <v>Pasta Point</v>
      </c>
      <c r="K19" t="str">
        <f>_xlfn.XLOOKUP(B19,Restaurants!$A$2:$A$16,Restaurants!$D$2:$D$16,"Unknown")</f>
        <v>Dine-in</v>
      </c>
    </row>
    <row r="20" spans="1:11" x14ac:dyDescent="0.35">
      <c r="A20" t="s">
        <v>200</v>
      </c>
      <c r="B20" t="s">
        <v>92</v>
      </c>
      <c r="C20" t="s">
        <v>21</v>
      </c>
      <c r="D20" t="s">
        <v>94</v>
      </c>
      <c r="E20" s="1">
        <v>46222</v>
      </c>
      <c r="F20">
        <v>40</v>
      </c>
      <c r="G20">
        <v>4</v>
      </c>
      <c r="H20">
        <v>410</v>
      </c>
      <c r="I20" t="s">
        <v>11</v>
      </c>
      <c r="J20" t="str">
        <f>_xlfn.XLOOKUP(B20,Restaurants!$A$2:$A$16,Restaurants!$B$2:$B$16,"Unknown")</f>
        <v>Taco Town</v>
      </c>
      <c r="K20" t="str">
        <f>_xlfn.XLOOKUP(B20,Restaurants!$A$2:$A$16,Restaurants!$D$2:$D$16,"Unknown")</f>
        <v>QSR</v>
      </c>
    </row>
    <row r="21" spans="1:11" x14ac:dyDescent="0.35">
      <c r="A21" t="s">
        <v>201</v>
      </c>
      <c r="B21" t="s">
        <v>95</v>
      </c>
      <c r="C21" t="s">
        <v>24</v>
      </c>
      <c r="D21" t="s">
        <v>97</v>
      </c>
      <c r="E21" s="1">
        <v>46223</v>
      </c>
      <c r="F21">
        <v>37</v>
      </c>
      <c r="G21">
        <v>4</v>
      </c>
      <c r="H21">
        <v>530</v>
      </c>
      <c r="I21" t="s">
        <v>11</v>
      </c>
      <c r="J21" t="str">
        <f>_xlfn.XLOOKUP(B21,Restaurants!$A$2:$A$16,Restaurants!$B$2:$B$16,"Unknown")</f>
        <v>Curry House</v>
      </c>
      <c r="K21" t="str">
        <f>_xlfn.XLOOKUP(B21,Restaurants!$A$2:$A$16,Restaurants!$D$2:$D$16,"Unknown")</f>
        <v>Dine-in</v>
      </c>
    </row>
    <row r="22" spans="1:11" x14ac:dyDescent="0.35">
      <c r="A22" t="s">
        <v>202</v>
      </c>
      <c r="B22" t="s">
        <v>98</v>
      </c>
      <c r="C22" t="s">
        <v>10</v>
      </c>
      <c r="D22" t="s">
        <v>82</v>
      </c>
      <c r="E22" s="1">
        <v>46224</v>
      </c>
      <c r="F22">
        <v>33</v>
      </c>
      <c r="G22">
        <v>4</v>
      </c>
      <c r="H22">
        <v>610</v>
      </c>
      <c r="I22" t="s">
        <v>11</v>
      </c>
      <c r="J22" t="str">
        <f>_xlfn.XLOOKUP(B22,Restaurants!$A$2:$A$16,Restaurants!$B$2:$B$16,"Unknown")</f>
        <v>Desi Zaika</v>
      </c>
      <c r="K22" t="str">
        <f>_xlfn.XLOOKUP(B22,Restaurants!$A$2:$A$16,Restaurants!$D$2:$D$16,"Unknown")</f>
        <v>QSR</v>
      </c>
    </row>
    <row r="23" spans="1:11" x14ac:dyDescent="0.35">
      <c r="A23" t="s">
        <v>203</v>
      </c>
      <c r="B23" t="s">
        <v>100</v>
      </c>
      <c r="C23" t="s">
        <v>14</v>
      </c>
      <c r="D23" t="s">
        <v>86</v>
      </c>
      <c r="E23" s="1">
        <v>46225</v>
      </c>
      <c r="F23">
        <v>50</v>
      </c>
      <c r="G23">
        <v>3</v>
      </c>
      <c r="H23">
        <v>445</v>
      </c>
      <c r="I23" t="s">
        <v>18</v>
      </c>
      <c r="J23" t="str">
        <f>_xlfn.XLOOKUP(B23,Restaurants!$A$2:$A$16,Restaurants!$B$2:$B$16,"Unknown")</f>
        <v>China Garden</v>
      </c>
      <c r="K23" t="str">
        <f>_xlfn.XLOOKUP(B23,Restaurants!$A$2:$A$16,Restaurants!$D$2:$D$16,"Unknown")</f>
        <v>Dine-in</v>
      </c>
    </row>
    <row r="24" spans="1:11" x14ac:dyDescent="0.35">
      <c r="A24" t="s">
        <v>204</v>
      </c>
      <c r="B24" t="s">
        <v>102</v>
      </c>
      <c r="C24" t="s">
        <v>17</v>
      </c>
      <c r="D24" t="s">
        <v>90</v>
      </c>
      <c r="E24" s="1">
        <v>46226</v>
      </c>
      <c r="F24">
        <v>29</v>
      </c>
      <c r="G24">
        <v>5</v>
      </c>
      <c r="H24">
        <v>735</v>
      </c>
      <c r="I24" t="s">
        <v>11</v>
      </c>
      <c r="J24" t="str">
        <f>_xlfn.XLOOKUP(B24,Restaurants!$A$2:$A$16,Restaurants!$B$2:$B$16,"Unknown")</f>
        <v>Italiano</v>
      </c>
      <c r="K24" t="str">
        <f>_xlfn.XLOOKUP(B24,Restaurants!$A$2:$A$16,Restaurants!$D$2:$D$16,"Unknown")</f>
        <v>Cloud Kitchen</v>
      </c>
    </row>
    <row r="25" spans="1:11" x14ac:dyDescent="0.35">
      <c r="A25" t="s">
        <v>205</v>
      </c>
      <c r="B25" t="s">
        <v>104</v>
      </c>
      <c r="C25" t="s">
        <v>21</v>
      </c>
      <c r="D25" t="s">
        <v>94</v>
      </c>
      <c r="E25" s="1">
        <v>46227</v>
      </c>
      <c r="F25">
        <v>42</v>
      </c>
      <c r="G25">
        <v>4</v>
      </c>
      <c r="H25">
        <v>475</v>
      </c>
      <c r="I25" t="s">
        <v>18</v>
      </c>
      <c r="J25" t="str">
        <f>_xlfn.XLOOKUP(B25,Restaurants!$A$2:$A$16,Restaurants!$B$2:$B$16,"Unknown")</f>
        <v>Mexican Grill</v>
      </c>
      <c r="K25" t="str">
        <f>_xlfn.XLOOKUP(B25,Restaurants!$A$2:$A$16,Restaurants!$D$2:$D$16,"Unknown")</f>
        <v>Dine-in</v>
      </c>
    </row>
    <row r="26" spans="1:11" x14ac:dyDescent="0.35">
      <c r="A26" t="s">
        <v>206</v>
      </c>
      <c r="B26" t="s">
        <v>106</v>
      </c>
      <c r="C26" t="s">
        <v>24</v>
      </c>
      <c r="D26" t="s">
        <v>97</v>
      </c>
      <c r="E26" s="1">
        <v>46228</v>
      </c>
      <c r="F26">
        <v>34</v>
      </c>
      <c r="G26">
        <v>4</v>
      </c>
      <c r="H26">
        <v>560</v>
      </c>
      <c r="I26" t="s">
        <v>11</v>
      </c>
      <c r="J26" t="str">
        <f>_xlfn.XLOOKUP(B26,Restaurants!$A$2:$A$16,Restaurants!$B$2:$B$16,"Unknown")</f>
        <v>Food Factory</v>
      </c>
      <c r="K26" t="str">
        <f>_xlfn.XLOOKUP(B26,Restaurants!$A$2:$A$16,Restaurants!$D$2:$D$16,"Unknown")</f>
        <v>QSR</v>
      </c>
    </row>
    <row r="27" spans="1:11" x14ac:dyDescent="0.35">
      <c r="A27" t="s">
        <v>207</v>
      </c>
      <c r="B27" t="s">
        <v>108</v>
      </c>
      <c r="C27" t="s">
        <v>10</v>
      </c>
      <c r="D27" t="s">
        <v>82</v>
      </c>
      <c r="E27" s="1">
        <v>46229</v>
      </c>
      <c r="F27">
        <v>31</v>
      </c>
      <c r="G27">
        <v>5</v>
      </c>
      <c r="H27">
        <v>700</v>
      </c>
      <c r="I27" t="s">
        <v>11</v>
      </c>
      <c r="J27" t="str">
        <f>_xlfn.XLOOKUP(B27,Restaurants!$A$2:$A$16,Restaurants!$B$2:$B$16,"Unknown")</f>
        <v>Punjabi Tadka</v>
      </c>
      <c r="K27" t="str">
        <f>_xlfn.XLOOKUP(B27,Restaurants!$A$2:$A$16,Restaurants!$D$2:$D$16,"Unknown")</f>
        <v>Dine-in</v>
      </c>
    </row>
    <row r="28" spans="1:11" x14ac:dyDescent="0.35">
      <c r="A28" t="s">
        <v>208</v>
      </c>
      <c r="B28" t="s">
        <v>110</v>
      </c>
      <c r="C28" t="s">
        <v>14</v>
      </c>
      <c r="D28" t="s">
        <v>86</v>
      </c>
      <c r="E28" s="1">
        <v>46230</v>
      </c>
      <c r="F28">
        <v>45</v>
      </c>
      <c r="G28">
        <v>3</v>
      </c>
      <c r="H28">
        <v>425</v>
      </c>
      <c r="I28" t="s">
        <v>18</v>
      </c>
      <c r="J28" t="str">
        <f>_xlfn.XLOOKUP(B28,Restaurants!$A$2:$A$16,Restaurants!$B$2:$B$16,"Unknown")</f>
        <v>Wok Express</v>
      </c>
      <c r="K28" t="str">
        <f>_xlfn.XLOOKUP(B28,Restaurants!$A$2:$A$16,Restaurants!$D$2:$D$16,"Unknown")</f>
        <v>Cloud Kitchen</v>
      </c>
    </row>
    <row r="29" spans="1:11" x14ac:dyDescent="0.35">
      <c r="A29" t="s">
        <v>209</v>
      </c>
      <c r="B29" t="s">
        <v>112</v>
      </c>
      <c r="C29" t="s">
        <v>17</v>
      </c>
      <c r="D29" t="s">
        <v>90</v>
      </c>
      <c r="E29" s="1">
        <v>46231</v>
      </c>
      <c r="F29">
        <v>30</v>
      </c>
      <c r="G29">
        <v>5</v>
      </c>
      <c r="H29">
        <v>760</v>
      </c>
      <c r="I29" t="s">
        <v>11</v>
      </c>
      <c r="J29" t="str">
        <f>_xlfn.XLOOKUP(B29,Restaurants!$A$2:$A$16,Restaurants!$B$2:$B$16,"Unknown")</f>
        <v>Pizza Corner</v>
      </c>
      <c r="K29" t="str">
        <f>_xlfn.XLOOKUP(B29,Restaurants!$A$2:$A$16,Restaurants!$D$2:$D$16,"Unknown")</f>
        <v>QSR</v>
      </c>
    </row>
    <row r="30" spans="1:11" x14ac:dyDescent="0.35">
      <c r="A30" t="s">
        <v>210</v>
      </c>
      <c r="B30" t="s">
        <v>114</v>
      </c>
      <c r="C30" t="s">
        <v>21</v>
      </c>
      <c r="D30" t="s">
        <v>94</v>
      </c>
      <c r="E30" s="1">
        <v>46232</v>
      </c>
      <c r="F30">
        <v>39</v>
      </c>
      <c r="G30">
        <v>4</v>
      </c>
      <c r="H30">
        <v>440</v>
      </c>
      <c r="I30" t="s">
        <v>11</v>
      </c>
      <c r="J30" t="str">
        <f>_xlfn.XLOOKUP(B30,Restaurants!$A$2:$A$16,Restaurants!$B$2:$B$16,"Unknown")</f>
        <v>Burrito House</v>
      </c>
      <c r="K30" t="str">
        <f>_xlfn.XLOOKUP(B30,Restaurants!$A$2:$A$16,Restaurants!$D$2:$D$16,"Unknown")</f>
        <v>Cloud Kitchen</v>
      </c>
    </row>
    <row r="31" spans="1:11" x14ac:dyDescent="0.35">
      <c r="A31" t="s">
        <v>211</v>
      </c>
      <c r="B31" t="s">
        <v>116</v>
      </c>
      <c r="C31" t="s">
        <v>24</v>
      </c>
      <c r="D31" t="s">
        <v>97</v>
      </c>
      <c r="E31" s="1">
        <v>46233</v>
      </c>
      <c r="F31">
        <v>47</v>
      </c>
      <c r="G31">
        <v>3</v>
      </c>
      <c r="H31">
        <v>500</v>
      </c>
      <c r="I31" t="s">
        <v>18</v>
      </c>
      <c r="J31" t="str">
        <f>_xlfn.XLOOKUP(B31,Restaurants!$A$2:$A$16,Restaurants!$B$2:$B$16,"Unknown")</f>
        <v>Ahmedabad Bites</v>
      </c>
      <c r="K31" t="str">
        <f>_xlfn.XLOOKUP(B31,Restaurants!$A$2:$A$16,Restaurants!$D$2:$D$16,"Unknown")</f>
        <v>Dine-in</v>
      </c>
    </row>
    <row r="32" spans="1:11" x14ac:dyDescent="0.35">
      <c r="A32" t="s">
        <v>212</v>
      </c>
      <c r="B32" t="s">
        <v>80</v>
      </c>
      <c r="C32" t="s">
        <v>10</v>
      </c>
      <c r="D32" t="s">
        <v>82</v>
      </c>
      <c r="E32" s="1">
        <v>46235</v>
      </c>
      <c r="F32">
        <v>28</v>
      </c>
      <c r="G32">
        <v>5</v>
      </c>
      <c r="H32">
        <v>650</v>
      </c>
      <c r="I32" t="s">
        <v>11</v>
      </c>
      <c r="J32" t="str">
        <f>_xlfn.XLOOKUP(B32,Restaurants!$A$2:$A$16,Restaurants!$B$2:$B$16,"Unknown")</f>
        <v>Spice Hub</v>
      </c>
      <c r="K32" t="str">
        <f>_xlfn.XLOOKUP(B32,Restaurants!$A$2:$A$16,Restaurants!$D$2:$D$16,"Unknown")</f>
        <v>Cloud Kitchen</v>
      </c>
    </row>
    <row r="33" spans="1:11" x14ac:dyDescent="0.35">
      <c r="A33" t="s">
        <v>213</v>
      </c>
      <c r="B33" t="s">
        <v>84</v>
      </c>
      <c r="C33" t="s">
        <v>14</v>
      </c>
      <c r="D33" t="s">
        <v>86</v>
      </c>
      <c r="E33" s="1">
        <v>46236</v>
      </c>
      <c r="F33">
        <v>37</v>
      </c>
      <c r="G33">
        <v>4</v>
      </c>
      <c r="H33">
        <v>490</v>
      </c>
      <c r="I33" t="s">
        <v>11</v>
      </c>
      <c r="J33" t="str">
        <f>_xlfn.XLOOKUP(B33,Restaurants!$A$2:$A$16,Restaurants!$B$2:$B$16,"Unknown")</f>
        <v>Dragon Bowl</v>
      </c>
      <c r="K33" t="str">
        <f>_xlfn.XLOOKUP(B33,Restaurants!$A$2:$A$16,Restaurants!$D$2:$D$16,"Unknown")</f>
        <v>QSR</v>
      </c>
    </row>
    <row r="34" spans="1:11" x14ac:dyDescent="0.35">
      <c r="A34" t="s">
        <v>214</v>
      </c>
      <c r="B34" t="s">
        <v>88</v>
      </c>
      <c r="C34" t="s">
        <v>17</v>
      </c>
      <c r="D34" t="s">
        <v>90</v>
      </c>
      <c r="E34" s="1">
        <v>46237</v>
      </c>
      <c r="F34">
        <v>33</v>
      </c>
      <c r="G34">
        <v>5</v>
      </c>
      <c r="H34">
        <v>780</v>
      </c>
      <c r="I34" t="s">
        <v>11</v>
      </c>
      <c r="J34" t="str">
        <f>_xlfn.XLOOKUP(B34,Restaurants!$A$2:$A$16,Restaurants!$B$2:$B$16,"Unknown")</f>
        <v>Pasta Point</v>
      </c>
      <c r="K34" t="str">
        <f>_xlfn.XLOOKUP(B34,Restaurants!$A$2:$A$16,Restaurants!$D$2:$D$16,"Unknown")</f>
        <v>Dine-in</v>
      </c>
    </row>
    <row r="35" spans="1:11" x14ac:dyDescent="0.35">
      <c r="A35" t="s">
        <v>215</v>
      </c>
      <c r="B35" t="s">
        <v>92</v>
      </c>
      <c r="C35" t="s">
        <v>21</v>
      </c>
      <c r="D35" t="s">
        <v>94</v>
      </c>
      <c r="E35" s="1">
        <v>46238</v>
      </c>
      <c r="F35">
        <v>51</v>
      </c>
      <c r="G35">
        <v>3</v>
      </c>
      <c r="H35">
        <v>400</v>
      </c>
      <c r="I35" t="s">
        <v>18</v>
      </c>
      <c r="J35" t="str">
        <f>_xlfn.XLOOKUP(B35,Restaurants!$A$2:$A$16,Restaurants!$B$2:$B$16,"Unknown")</f>
        <v>Taco Town</v>
      </c>
      <c r="K35" t="str">
        <f>_xlfn.XLOOKUP(B35,Restaurants!$A$2:$A$16,Restaurants!$D$2:$D$16,"Unknown")</f>
        <v>QSR</v>
      </c>
    </row>
    <row r="36" spans="1:11" x14ac:dyDescent="0.35">
      <c r="A36" t="s">
        <v>216</v>
      </c>
      <c r="B36" t="s">
        <v>95</v>
      </c>
      <c r="C36" t="s">
        <v>24</v>
      </c>
      <c r="D36" t="s">
        <v>97</v>
      </c>
      <c r="E36" s="1">
        <v>46239</v>
      </c>
      <c r="F36">
        <v>36</v>
      </c>
      <c r="G36">
        <v>4</v>
      </c>
      <c r="H36">
        <v>550</v>
      </c>
      <c r="I36" t="s">
        <v>11</v>
      </c>
      <c r="J36" t="str">
        <f>_xlfn.XLOOKUP(B36,Restaurants!$A$2:$A$16,Restaurants!$B$2:$B$16,"Unknown")</f>
        <v>Curry House</v>
      </c>
      <c r="K36" t="str">
        <f>_xlfn.XLOOKUP(B36,Restaurants!$A$2:$A$16,Restaurants!$D$2:$D$16,"Unknown")</f>
        <v>Dine-in</v>
      </c>
    </row>
    <row r="37" spans="1:11" x14ac:dyDescent="0.35">
      <c r="A37" t="s">
        <v>217</v>
      </c>
      <c r="B37" t="s">
        <v>98</v>
      </c>
      <c r="C37" t="s">
        <v>10</v>
      </c>
      <c r="D37" t="s">
        <v>82</v>
      </c>
      <c r="E37" s="1">
        <v>46240</v>
      </c>
      <c r="F37">
        <v>30</v>
      </c>
      <c r="G37">
        <v>5</v>
      </c>
      <c r="H37">
        <v>675</v>
      </c>
      <c r="I37" t="s">
        <v>11</v>
      </c>
      <c r="J37" t="str">
        <f>_xlfn.XLOOKUP(B37,Restaurants!$A$2:$A$16,Restaurants!$B$2:$B$16,"Unknown")</f>
        <v>Desi Zaika</v>
      </c>
      <c r="K37" t="str">
        <f>_xlfn.XLOOKUP(B37,Restaurants!$A$2:$A$16,Restaurants!$D$2:$D$16,"Unknown")</f>
        <v>QSR</v>
      </c>
    </row>
    <row r="38" spans="1:11" x14ac:dyDescent="0.35">
      <c r="A38" t="s">
        <v>218</v>
      </c>
      <c r="B38" t="s">
        <v>100</v>
      </c>
      <c r="C38" t="s">
        <v>14</v>
      </c>
      <c r="D38" t="s">
        <v>86</v>
      </c>
      <c r="E38" s="1">
        <v>46241</v>
      </c>
      <c r="F38">
        <v>44</v>
      </c>
      <c r="G38">
        <v>3</v>
      </c>
      <c r="H38">
        <v>460</v>
      </c>
      <c r="I38" t="s">
        <v>18</v>
      </c>
      <c r="J38" t="str">
        <f>_xlfn.XLOOKUP(B38,Restaurants!$A$2:$A$16,Restaurants!$B$2:$B$16,"Unknown")</f>
        <v>China Garden</v>
      </c>
      <c r="K38" t="str">
        <f>_xlfn.XLOOKUP(B38,Restaurants!$A$2:$A$16,Restaurants!$D$2:$D$16,"Unknown")</f>
        <v>Dine-in</v>
      </c>
    </row>
    <row r="39" spans="1:11" x14ac:dyDescent="0.35">
      <c r="A39" t="s">
        <v>219</v>
      </c>
      <c r="B39" t="s">
        <v>102</v>
      </c>
      <c r="C39" t="s">
        <v>17</v>
      </c>
      <c r="D39" t="s">
        <v>90</v>
      </c>
      <c r="E39" s="1">
        <v>46242</v>
      </c>
      <c r="F39">
        <v>27</v>
      </c>
      <c r="G39">
        <v>5</v>
      </c>
      <c r="H39">
        <v>710</v>
      </c>
      <c r="I39" t="s">
        <v>11</v>
      </c>
      <c r="J39" t="str">
        <f>_xlfn.XLOOKUP(B39,Restaurants!$A$2:$A$16,Restaurants!$B$2:$B$16,"Unknown")</f>
        <v>Italiano</v>
      </c>
      <c r="K39" t="str">
        <f>_xlfn.XLOOKUP(B39,Restaurants!$A$2:$A$16,Restaurants!$D$2:$D$16,"Unknown")</f>
        <v>Cloud Kitchen</v>
      </c>
    </row>
    <row r="40" spans="1:11" x14ac:dyDescent="0.35">
      <c r="A40" t="s">
        <v>220</v>
      </c>
      <c r="B40" t="s">
        <v>104</v>
      </c>
      <c r="C40" t="s">
        <v>21</v>
      </c>
      <c r="D40" t="s">
        <v>94</v>
      </c>
      <c r="E40" s="1">
        <v>46243</v>
      </c>
      <c r="F40">
        <v>41</v>
      </c>
      <c r="G40">
        <v>4</v>
      </c>
      <c r="H40">
        <v>455</v>
      </c>
      <c r="I40" t="s">
        <v>18</v>
      </c>
      <c r="J40" t="str">
        <f>_xlfn.XLOOKUP(B40,Restaurants!$A$2:$A$16,Restaurants!$B$2:$B$16,"Unknown")</f>
        <v>Mexican Grill</v>
      </c>
      <c r="K40" t="str">
        <f>_xlfn.XLOOKUP(B40,Restaurants!$A$2:$A$16,Restaurants!$D$2:$D$16,"Unknown")</f>
        <v>Dine-in</v>
      </c>
    </row>
    <row r="41" spans="1:11" x14ac:dyDescent="0.35">
      <c r="A41" t="s">
        <v>221</v>
      </c>
      <c r="B41" t="s">
        <v>106</v>
      </c>
      <c r="C41" t="s">
        <v>24</v>
      </c>
      <c r="D41" t="s">
        <v>97</v>
      </c>
      <c r="E41" s="1">
        <v>46244</v>
      </c>
      <c r="F41">
        <v>32</v>
      </c>
      <c r="G41">
        <v>4</v>
      </c>
      <c r="H41">
        <v>520</v>
      </c>
      <c r="I41" t="s">
        <v>11</v>
      </c>
      <c r="J41" t="str">
        <f>_xlfn.XLOOKUP(B41,Restaurants!$A$2:$A$16,Restaurants!$B$2:$B$16,"Unknown")</f>
        <v>Food Factory</v>
      </c>
      <c r="K41" t="str">
        <f>_xlfn.XLOOKUP(B41,Restaurants!$A$2:$A$16,Restaurants!$D$2:$D$16,"Unknown")</f>
        <v>QSR</v>
      </c>
    </row>
    <row r="42" spans="1:11" x14ac:dyDescent="0.35">
      <c r="A42" t="s">
        <v>222</v>
      </c>
      <c r="B42" t="s">
        <v>108</v>
      </c>
      <c r="C42" t="s">
        <v>10</v>
      </c>
      <c r="D42" t="s">
        <v>82</v>
      </c>
      <c r="E42" s="1">
        <v>46245</v>
      </c>
      <c r="F42">
        <v>35</v>
      </c>
      <c r="G42">
        <v>4</v>
      </c>
      <c r="H42">
        <v>625</v>
      </c>
      <c r="I42" t="s">
        <v>11</v>
      </c>
      <c r="J42" t="str">
        <f>_xlfn.XLOOKUP(B42,Restaurants!$A$2:$A$16,Restaurants!$B$2:$B$16,"Unknown")</f>
        <v>Punjabi Tadka</v>
      </c>
      <c r="K42" t="str">
        <f>_xlfn.XLOOKUP(B42,Restaurants!$A$2:$A$16,Restaurants!$D$2:$D$16,"Unknown")</f>
        <v>Dine-in</v>
      </c>
    </row>
    <row r="43" spans="1:11" x14ac:dyDescent="0.35">
      <c r="A43" t="s">
        <v>223</v>
      </c>
      <c r="B43" t="s">
        <v>110</v>
      </c>
      <c r="C43" t="s">
        <v>14</v>
      </c>
      <c r="D43" t="s">
        <v>86</v>
      </c>
      <c r="E43" s="1">
        <v>46246</v>
      </c>
      <c r="F43">
        <v>40</v>
      </c>
      <c r="G43">
        <v>4</v>
      </c>
      <c r="H43">
        <v>485</v>
      </c>
      <c r="I43" t="s">
        <v>11</v>
      </c>
      <c r="J43" t="str">
        <f>_xlfn.XLOOKUP(B43,Restaurants!$A$2:$A$16,Restaurants!$B$2:$B$16,"Unknown")</f>
        <v>Wok Express</v>
      </c>
      <c r="K43" t="str">
        <f>_xlfn.XLOOKUP(B43,Restaurants!$A$2:$A$16,Restaurants!$D$2:$D$16,"Unknown")</f>
        <v>Cloud Kitchen</v>
      </c>
    </row>
    <row r="44" spans="1:11" x14ac:dyDescent="0.35">
      <c r="A44" t="s">
        <v>224</v>
      </c>
      <c r="B44" t="s">
        <v>112</v>
      </c>
      <c r="C44" t="s">
        <v>17</v>
      </c>
      <c r="D44" t="s">
        <v>90</v>
      </c>
      <c r="E44" s="1">
        <v>46247</v>
      </c>
      <c r="F44">
        <v>29</v>
      </c>
      <c r="G44">
        <v>5</v>
      </c>
      <c r="H44">
        <v>800</v>
      </c>
      <c r="I44" t="s">
        <v>11</v>
      </c>
      <c r="J44" t="str">
        <f>_xlfn.XLOOKUP(B44,Restaurants!$A$2:$A$16,Restaurants!$B$2:$B$16,"Unknown")</f>
        <v>Pizza Corner</v>
      </c>
      <c r="K44" t="str">
        <f>_xlfn.XLOOKUP(B44,Restaurants!$A$2:$A$16,Restaurants!$D$2:$D$16,"Unknown")</f>
        <v>QSR</v>
      </c>
    </row>
    <row r="45" spans="1:11" x14ac:dyDescent="0.35">
      <c r="A45" t="s">
        <v>225</v>
      </c>
      <c r="B45" t="s">
        <v>114</v>
      </c>
      <c r="C45" t="s">
        <v>21</v>
      </c>
      <c r="D45" t="s">
        <v>94</v>
      </c>
      <c r="E45" s="1">
        <v>46248</v>
      </c>
      <c r="F45">
        <v>49</v>
      </c>
      <c r="G45">
        <v>3</v>
      </c>
      <c r="H45">
        <v>415</v>
      </c>
      <c r="I45" t="s">
        <v>18</v>
      </c>
      <c r="J45" t="str">
        <f>_xlfn.XLOOKUP(B45,Restaurants!$A$2:$A$16,Restaurants!$B$2:$B$16,"Unknown")</f>
        <v>Burrito House</v>
      </c>
      <c r="K45" t="str">
        <f>_xlfn.XLOOKUP(B45,Restaurants!$A$2:$A$16,Restaurants!$D$2:$D$16,"Unknown")</f>
        <v>Cloud Kitchen</v>
      </c>
    </row>
    <row r="46" spans="1:11" x14ac:dyDescent="0.35">
      <c r="A46" t="s">
        <v>226</v>
      </c>
      <c r="B46" t="s">
        <v>116</v>
      </c>
      <c r="C46" t="s">
        <v>24</v>
      </c>
      <c r="D46" t="s">
        <v>97</v>
      </c>
      <c r="E46" s="1">
        <v>46249</v>
      </c>
      <c r="F46">
        <v>38</v>
      </c>
      <c r="G46">
        <v>4</v>
      </c>
      <c r="H46">
        <v>565</v>
      </c>
      <c r="I46" t="s">
        <v>11</v>
      </c>
      <c r="J46" t="str">
        <f>_xlfn.XLOOKUP(B46,Restaurants!$A$2:$A$16,Restaurants!$B$2:$B$16,"Unknown")</f>
        <v>Ahmedabad Bites</v>
      </c>
      <c r="K46" t="str">
        <f>_xlfn.XLOOKUP(B46,Restaurants!$A$2:$A$16,Restaurants!$D$2:$D$16,"Unknown")</f>
        <v>Dine-in</v>
      </c>
    </row>
    <row r="47" spans="1:11" x14ac:dyDescent="0.35">
      <c r="A47" t="s">
        <v>227</v>
      </c>
      <c r="B47" t="s">
        <v>80</v>
      </c>
      <c r="C47" t="s">
        <v>10</v>
      </c>
      <c r="D47" t="s">
        <v>82</v>
      </c>
      <c r="E47" s="1">
        <v>46250</v>
      </c>
      <c r="F47">
        <v>34</v>
      </c>
      <c r="G47">
        <v>5</v>
      </c>
      <c r="H47">
        <v>690</v>
      </c>
      <c r="I47" t="s">
        <v>11</v>
      </c>
      <c r="J47" t="str">
        <f>_xlfn.XLOOKUP(B47,Restaurants!$A$2:$A$16,Restaurants!$B$2:$B$16,"Unknown")</f>
        <v>Spice Hub</v>
      </c>
      <c r="K47" t="str">
        <f>_xlfn.XLOOKUP(B47,Restaurants!$A$2:$A$16,Restaurants!$D$2:$D$16,"Unknown")</f>
        <v>Cloud Kitchen</v>
      </c>
    </row>
    <row r="48" spans="1:11" x14ac:dyDescent="0.35">
      <c r="A48" t="s">
        <v>228</v>
      </c>
      <c r="B48" t="s">
        <v>84</v>
      </c>
      <c r="C48" t="s">
        <v>14</v>
      </c>
      <c r="D48" t="s">
        <v>86</v>
      </c>
      <c r="E48" s="1">
        <v>46251</v>
      </c>
      <c r="F48">
        <v>46</v>
      </c>
      <c r="G48">
        <v>3</v>
      </c>
      <c r="H48">
        <v>440</v>
      </c>
      <c r="I48" t="s">
        <v>18</v>
      </c>
      <c r="J48" t="str">
        <f>_xlfn.XLOOKUP(B48,Restaurants!$A$2:$A$16,Restaurants!$B$2:$B$16,"Unknown")</f>
        <v>Dragon Bowl</v>
      </c>
      <c r="K48" t="str">
        <f>_xlfn.XLOOKUP(B48,Restaurants!$A$2:$A$16,Restaurants!$D$2:$D$16,"Unknown")</f>
        <v>QSR</v>
      </c>
    </row>
    <row r="49" spans="1:11" x14ac:dyDescent="0.35">
      <c r="A49" t="s">
        <v>229</v>
      </c>
      <c r="B49" t="s">
        <v>88</v>
      </c>
      <c r="C49" t="s">
        <v>17</v>
      </c>
      <c r="D49" t="s">
        <v>90</v>
      </c>
      <c r="E49" s="1">
        <v>46252</v>
      </c>
      <c r="F49">
        <v>31</v>
      </c>
      <c r="G49">
        <v>5</v>
      </c>
      <c r="H49">
        <v>745</v>
      </c>
      <c r="I49" t="s">
        <v>11</v>
      </c>
      <c r="J49" t="str">
        <f>_xlfn.XLOOKUP(B49,Restaurants!$A$2:$A$16,Restaurants!$B$2:$B$16,"Unknown")</f>
        <v>Pasta Point</v>
      </c>
      <c r="K49" t="str">
        <f>_xlfn.XLOOKUP(B49,Restaurants!$A$2:$A$16,Restaurants!$D$2:$D$16,"Unknown")</f>
        <v>Dine-in</v>
      </c>
    </row>
    <row r="50" spans="1:11" x14ac:dyDescent="0.35">
      <c r="A50" t="s">
        <v>230</v>
      </c>
      <c r="B50" t="s">
        <v>92</v>
      </c>
      <c r="C50" t="s">
        <v>21</v>
      </c>
      <c r="D50" t="s">
        <v>94</v>
      </c>
      <c r="E50" s="1">
        <v>46253</v>
      </c>
      <c r="F50">
        <v>43</v>
      </c>
      <c r="G50">
        <v>4</v>
      </c>
      <c r="H50">
        <v>425</v>
      </c>
      <c r="I50" t="s">
        <v>18</v>
      </c>
      <c r="J50" t="str">
        <f>_xlfn.XLOOKUP(B50,Restaurants!$A$2:$A$16,Restaurants!$B$2:$B$16,"Unknown")</f>
        <v>Taco Town</v>
      </c>
      <c r="K50" t="str">
        <f>_xlfn.XLOOKUP(B50,Restaurants!$A$2:$A$16,Restaurants!$D$2:$D$16,"Unknown")</f>
        <v>QSR</v>
      </c>
    </row>
    <row r="51" spans="1:11" x14ac:dyDescent="0.35">
      <c r="A51" t="s">
        <v>231</v>
      </c>
      <c r="B51" t="s">
        <v>95</v>
      </c>
      <c r="C51" t="s">
        <v>24</v>
      </c>
      <c r="D51" t="s">
        <v>97</v>
      </c>
      <c r="E51" s="1">
        <v>46254</v>
      </c>
      <c r="F51">
        <v>33</v>
      </c>
      <c r="G51">
        <v>4</v>
      </c>
      <c r="H51">
        <v>535</v>
      </c>
      <c r="I51" t="s">
        <v>11</v>
      </c>
      <c r="J51" t="str">
        <f>_xlfn.XLOOKUP(B51,Restaurants!$A$2:$A$16,Restaurants!$B$2:$B$16,"Unknown")</f>
        <v>Curry House</v>
      </c>
      <c r="K51" t="str">
        <f>_xlfn.XLOOKUP(B51,Restaurants!$A$2:$A$16,Restaurants!$D$2:$D$16,"Unknown")</f>
        <v>Dine-in</v>
      </c>
    </row>
    <row r="52" spans="1:11" x14ac:dyDescent="0.35">
      <c r="A52" t="s">
        <v>232</v>
      </c>
      <c r="B52" t="s">
        <v>98</v>
      </c>
      <c r="C52" t="s">
        <v>10</v>
      </c>
      <c r="D52" t="s">
        <v>82</v>
      </c>
      <c r="E52" s="1">
        <v>46255</v>
      </c>
      <c r="F52">
        <v>29</v>
      </c>
      <c r="G52">
        <v>5</v>
      </c>
      <c r="H52">
        <v>720</v>
      </c>
      <c r="I52" t="s">
        <v>11</v>
      </c>
      <c r="J52" t="str">
        <f>_xlfn.XLOOKUP(B52,Restaurants!$A$2:$A$16,Restaurants!$B$2:$B$16,"Unknown")</f>
        <v>Desi Zaika</v>
      </c>
      <c r="K52" t="str">
        <f>_xlfn.XLOOKUP(B52,Restaurants!$A$2:$A$16,Restaurants!$D$2:$D$16,"Unknown")</f>
        <v>QSR</v>
      </c>
    </row>
    <row r="53" spans="1:11" x14ac:dyDescent="0.35">
      <c r="A53" t="s">
        <v>233</v>
      </c>
      <c r="B53" t="s">
        <v>100</v>
      </c>
      <c r="C53" t="s">
        <v>14</v>
      </c>
      <c r="D53" t="s">
        <v>86</v>
      </c>
      <c r="E53" s="1">
        <v>46256</v>
      </c>
      <c r="F53">
        <v>42</v>
      </c>
      <c r="G53">
        <v>4</v>
      </c>
      <c r="H53">
        <v>470</v>
      </c>
      <c r="I53" t="s">
        <v>18</v>
      </c>
      <c r="J53" t="str">
        <f>_xlfn.XLOOKUP(B53,Restaurants!$A$2:$A$16,Restaurants!$B$2:$B$16,"Unknown")</f>
        <v>China Garden</v>
      </c>
      <c r="K53" t="str">
        <f>_xlfn.XLOOKUP(B53,Restaurants!$A$2:$A$16,Restaurants!$D$2:$D$16,"Unknown")</f>
        <v>Dine-in</v>
      </c>
    </row>
    <row r="54" spans="1:11" x14ac:dyDescent="0.35">
      <c r="A54" t="s">
        <v>234</v>
      </c>
      <c r="B54" t="s">
        <v>102</v>
      </c>
      <c r="C54" t="s">
        <v>17</v>
      </c>
      <c r="D54" t="s">
        <v>90</v>
      </c>
      <c r="E54" s="1">
        <v>46257</v>
      </c>
      <c r="F54">
        <v>25</v>
      </c>
      <c r="G54">
        <v>5</v>
      </c>
      <c r="H54">
        <v>815</v>
      </c>
      <c r="I54" t="s">
        <v>11</v>
      </c>
      <c r="J54" t="str">
        <f>_xlfn.XLOOKUP(B54,Restaurants!$A$2:$A$16,Restaurants!$B$2:$B$16,"Unknown")</f>
        <v>Italiano</v>
      </c>
      <c r="K54" t="str">
        <f>_xlfn.XLOOKUP(B54,Restaurants!$A$2:$A$16,Restaurants!$D$2:$D$16,"Unknown")</f>
        <v>Cloud Kitchen</v>
      </c>
    </row>
    <row r="55" spans="1:11" x14ac:dyDescent="0.35">
      <c r="A55" t="s">
        <v>235</v>
      </c>
      <c r="B55" t="s">
        <v>104</v>
      </c>
      <c r="C55" t="s">
        <v>21</v>
      </c>
      <c r="D55" t="s">
        <v>94</v>
      </c>
      <c r="E55" s="1">
        <v>46258</v>
      </c>
      <c r="F55">
        <v>39</v>
      </c>
      <c r="G55">
        <v>4</v>
      </c>
      <c r="H55">
        <v>450</v>
      </c>
      <c r="I55" t="s">
        <v>11</v>
      </c>
      <c r="J55" t="str">
        <f>_xlfn.XLOOKUP(B55,Restaurants!$A$2:$A$16,Restaurants!$B$2:$B$16,"Unknown")</f>
        <v>Mexican Grill</v>
      </c>
      <c r="K55" t="str">
        <f>_xlfn.XLOOKUP(B55,Restaurants!$A$2:$A$16,Restaurants!$D$2:$D$16,"Unknown")</f>
        <v>Dine-in</v>
      </c>
    </row>
    <row r="56" spans="1:11" x14ac:dyDescent="0.35">
      <c r="A56" t="s">
        <v>236</v>
      </c>
      <c r="B56" t="s">
        <v>106</v>
      </c>
      <c r="C56" t="s">
        <v>24</v>
      </c>
      <c r="D56" t="s">
        <v>97</v>
      </c>
      <c r="E56" s="1">
        <v>46259</v>
      </c>
      <c r="F56">
        <v>45</v>
      </c>
      <c r="G56">
        <v>3</v>
      </c>
      <c r="H56">
        <v>515</v>
      </c>
      <c r="I56" t="s">
        <v>18</v>
      </c>
      <c r="J56" t="str">
        <f>_xlfn.XLOOKUP(B56,Restaurants!$A$2:$A$16,Restaurants!$B$2:$B$16,"Unknown")</f>
        <v>Food Factory</v>
      </c>
      <c r="K56" t="str">
        <f>_xlfn.XLOOKUP(B56,Restaurants!$A$2:$A$16,Restaurants!$D$2:$D$16,"Unknown")</f>
        <v>QSR</v>
      </c>
    </row>
    <row r="57" spans="1:11" x14ac:dyDescent="0.35">
      <c r="A57" t="s">
        <v>237</v>
      </c>
      <c r="B57" t="s">
        <v>108</v>
      </c>
      <c r="C57" t="s">
        <v>10</v>
      </c>
      <c r="D57" t="s">
        <v>82</v>
      </c>
      <c r="E57" s="1">
        <v>46260</v>
      </c>
      <c r="F57">
        <v>32</v>
      </c>
      <c r="G57">
        <v>4</v>
      </c>
      <c r="H57">
        <v>635</v>
      </c>
      <c r="I57" t="s">
        <v>11</v>
      </c>
      <c r="J57" t="str">
        <f>_xlfn.XLOOKUP(B57,Restaurants!$A$2:$A$16,Restaurants!$B$2:$B$16,"Unknown")</f>
        <v>Punjabi Tadka</v>
      </c>
      <c r="K57" t="str">
        <f>_xlfn.XLOOKUP(B57,Restaurants!$A$2:$A$16,Restaurants!$D$2:$D$16,"Unknown")</f>
        <v>Dine-in</v>
      </c>
    </row>
    <row r="58" spans="1:11" x14ac:dyDescent="0.35">
      <c r="A58" t="s">
        <v>238</v>
      </c>
      <c r="B58" t="s">
        <v>110</v>
      </c>
      <c r="C58" t="s">
        <v>14</v>
      </c>
      <c r="D58" t="s">
        <v>86</v>
      </c>
      <c r="E58" s="1">
        <v>46261</v>
      </c>
      <c r="F58">
        <v>48</v>
      </c>
      <c r="G58">
        <v>3</v>
      </c>
      <c r="H58">
        <v>435</v>
      </c>
      <c r="I58" t="s">
        <v>18</v>
      </c>
      <c r="J58" t="str">
        <f>_xlfn.XLOOKUP(B58,Restaurants!$A$2:$A$16,Restaurants!$B$2:$B$16,"Unknown")</f>
        <v>Wok Express</v>
      </c>
      <c r="K58" t="str">
        <f>_xlfn.XLOOKUP(B58,Restaurants!$A$2:$A$16,Restaurants!$D$2:$D$16,"Unknown")</f>
        <v>Cloud Kitchen</v>
      </c>
    </row>
    <row r="59" spans="1:11" x14ac:dyDescent="0.35">
      <c r="A59" t="s">
        <v>239</v>
      </c>
      <c r="B59" t="s">
        <v>112</v>
      </c>
      <c r="C59" t="s">
        <v>17</v>
      </c>
      <c r="D59" t="s">
        <v>90</v>
      </c>
      <c r="E59" s="1">
        <v>46262</v>
      </c>
      <c r="F59">
        <v>30</v>
      </c>
      <c r="G59">
        <v>5</v>
      </c>
      <c r="H59">
        <v>770</v>
      </c>
      <c r="I59" t="s">
        <v>11</v>
      </c>
      <c r="J59" t="str">
        <f>_xlfn.XLOOKUP(B59,Restaurants!$A$2:$A$16,Restaurants!$B$2:$B$16,"Unknown")</f>
        <v>Pizza Corner</v>
      </c>
      <c r="K59" t="str">
        <f>_xlfn.XLOOKUP(B59,Restaurants!$A$2:$A$16,Restaurants!$D$2:$D$16,"Unknown")</f>
        <v>QSR</v>
      </c>
    </row>
    <row r="60" spans="1:11" x14ac:dyDescent="0.35">
      <c r="A60" t="s">
        <v>240</v>
      </c>
      <c r="B60" t="s">
        <v>114</v>
      </c>
      <c r="C60" t="s">
        <v>21</v>
      </c>
      <c r="D60" t="s">
        <v>94</v>
      </c>
      <c r="E60" s="1">
        <v>46263</v>
      </c>
      <c r="F60">
        <v>37</v>
      </c>
      <c r="G60">
        <v>4</v>
      </c>
      <c r="H60">
        <v>465</v>
      </c>
      <c r="I60" t="s">
        <v>11</v>
      </c>
      <c r="J60" t="str">
        <f>_xlfn.XLOOKUP(B60,Restaurants!$A$2:$A$16,Restaurants!$B$2:$B$16,"Unknown")</f>
        <v>Burrito House</v>
      </c>
      <c r="K60" t="str">
        <f>_xlfn.XLOOKUP(B60,Restaurants!$A$2:$A$16,Restaurants!$D$2:$D$16,"Unknown")</f>
        <v>Cloud Kitchen</v>
      </c>
    </row>
    <row r="61" spans="1:11" x14ac:dyDescent="0.35">
      <c r="A61" t="s">
        <v>241</v>
      </c>
      <c r="B61" t="s">
        <v>116</v>
      </c>
      <c r="C61" t="s">
        <v>24</v>
      </c>
      <c r="D61" t="s">
        <v>97</v>
      </c>
      <c r="E61" s="1">
        <v>46264</v>
      </c>
      <c r="F61">
        <v>41</v>
      </c>
      <c r="G61">
        <v>4</v>
      </c>
      <c r="H61">
        <v>545</v>
      </c>
      <c r="I61" t="s">
        <v>18</v>
      </c>
      <c r="J61" t="str">
        <f>_xlfn.XLOOKUP(B61,Restaurants!$A$2:$A$16,Restaurants!$B$2:$B$16,"Unknown")</f>
        <v>Ahmedabad Bites</v>
      </c>
      <c r="K61" t="str">
        <f>_xlfn.XLOOKUP(B61,Restaurants!$A$2:$A$16,Restaurants!$D$2:$D$16,"Unknown")</f>
        <v>Dine-in</v>
      </c>
    </row>
    <row r="62" spans="1:11" x14ac:dyDescent="0.35">
      <c r="A62" t="s">
        <v>242</v>
      </c>
      <c r="B62" t="s">
        <v>80</v>
      </c>
      <c r="C62" t="s">
        <v>10</v>
      </c>
      <c r="D62" t="s">
        <v>82</v>
      </c>
      <c r="E62" s="1">
        <v>46266</v>
      </c>
      <c r="F62">
        <v>31</v>
      </c>
      <c r="G62">
        <v>5</v>
      </c>
      <c r="H62">
        <v>660</v>
      </c>
      <c r="I62" t="s">
        <v>11</v>
      </c>
      <c r="J62" t="str">
        <f>_xlfn.XLOOKUP(B62,Restaurants!$A$2:$A$16,Restaurants!$B$2:$B$16,"Unknown")</f>
        <v>Spice Hub</v>
      </c>
      <c r="K62" t="str">
        <f>_xlfn.XLOOKUP(B62,Restaurants!$A$2:$A$16,Restaurants!$D$2:$D$16,"Unknown")</f>
        <v>Cloud Kitchen</v>
      </c>
    </row>
    <row r="63" spans="1:11" x14ac:dyDescent="0.35">
      <c r="A63" t="s">
        <v>243</v>
      </c>
      <c r="B63" t="s">
        <v>84</v>
      </c>
      <c r="C63" t="s">
        <v>14</v>
      </c>
      <c r="D63" t="s">
        <v>86</v>
      </c>
      <c r="E63" s="1">
        <v>46267</v>
      </c>
      <c r="F63">
        <v>40</v>
      </c>
      <c r="G63">
        <v>4</v>
      </c>
      <c r="H63">
        <v>500</v>
      </c>
      <c r="I63" t="s">
        <v>11</v>
      </c>
      <c r="J63" t="str">
        <f>_xlfn.XLOOKUP(B63,Restaurants!$A$2:$A$16,Restaurants!$B$2:$B$16,"Unknown")</f>
        <v>Dragon Bowl</v>
      </c>
      <c r="K63" t="str">
        <f>_xlfn.XLOOKUP(B63,Restaurants!$A$2:$A$16,Restaurants!$D$2:$D$16,"Unknown")</f>
        <v>QSR</v>
      </c>
    </row>
    <row r="64" spans="1:11" x14ac:dyDescent="0.35">
      <c r="A64" t="s">
        <v>244</v>
      </c>
      <c r="B64" t="s">
        <v>88</v>
      </c>
      <c r="C64" t="s">
        <v>17</v>
      </c>
      <c r="D64" t="s">
        <v>90</v>
      </c>
      <c r="E64" s="1">
        <v>46268</v>
      </c>
      <c r="F64">
        <v>28</v>
      </c>
      <c r="G64">
        <v>5</v>
      </c>
      <c r="H64">
        <v>785</v>
      </c>
      <c r="I64" t="s">
        <v>11</v>
      </c>
      <c r="J64" t="str">
        <f>_xlfn.XLOOKUP(B64,Restaurants!$A$2:$A$16,Restaurants!$B$2:$B$16,"Unknown")</f>
        <v>Pasta Point</v>
      </c>
      <c r="K64" t="str">
        <f>_xlfn.XLOOKUP(B64,Restaurants!$A$2:$A$16,Restaurants!$D$2:$D$16,"Unknown")</f>
        <v>Dine-in</v>
      </c>
    </row>
    <row r="65" spans="1:11" x14ac:dyDescent="0.35">
      <c r="A65" t="s">
        <v>245</v>
      </c>
      <c r="B65" t="s">
        <v>92</v>
      </c>
      <c r="C65" t="s">
        <v>21</v>
      </c>
      <c r="D65" t="s">
        <v>94</v>
      </c>
      <c r="E65" s="1">
        <v>46269</v>
      </c>
      <c r="F65">
        <v>53</v>
      </c>
      <c r="G65">
        <v>3</v>
      </c>
      <c r="H65">
        <v>395</v>
      </c>
      <c r="I65" t="s">
        <v>18</v>
      </c>
      <c r="J65" t="str">
        <f>_xlfn.XLOOKUP(B65,Restaurants!$A$2:$A$16,Restaurants!$B$2:$B$16,"Unknown")</f>
        <v>Taco Town</v>
      </c>
      <c r="K65" t="str">
        <f>_xlfn.XLOOKUP(B65,Restaurants!$A$2:$A$16,Restaurants!$D$2:$D$16,"Unknown")</f>
        <v>QSR</v>
      </c>
    </row>
    <row r="66" spans="1:11" x14ac:dyDescent="0.35">
      <c r="A66" t="s">
        <v>246</v>
      </c>
      <c r="B66" t="s">
        <v>95</v>
      </c>
      <c r="C66" t="s">
        <v>24</v>
      </c>
      <c r="D66" t="s">
        <v>97</v>
      </c>
      <c r="E66" s="1">
        <v>46270</v>
      </c>
      <c r="F66">
        <v>34</v>
      </c>
      <c r="G66">
        <v>4</v>
      </c>
      <c r="H66">
        <v>570</v>
      </c>
      <c r="I66" t="s">
        <v>11</v>
      </c>
      <c r="J66" t="str">
        <f>_xlfn.XLOOKUP(B66,Restaurants!$A$2:$A$16,Restaurants!$B$2:$B$16,"Unknown")</f>
        <v>Curry House</v>
      </c>
      <c r="K66" t="str">
        <f>_xlfn.XLOOKUP(B66,Restaurants!$A$2:$A$16,Restaurants!$D$2:$D$16,"Unknown")</f>
        <v>Dine-in</v>
      </c>
    </row>
    <row r="67" spans="1:11" x14ac:dyDescent="0.35">
      <c r="A67" t="s">
        <v>247</v>
      </c>
      <c r="B67" t="s">
        <v>98</v>
      </c>
      <c r="C67" t="s">
        <v>10</v>
      </c>
      <c r="D67" t="s">
        <v>82</v>
      </c>
      <c r="E67" s="1">
        <v>46271</v>
      </c>
      <c r="F67">
        <v>27</v>
      </c>
      <c r="G67">
        <v>5</v>
      </c>
      <c r="H67">
        <v>705</v>
      </c>
      <c r="I67" t="s">
        <v>11</v>
      </c>
      <c r="J67" t="str">
        <f>_xlfn.XLOOKUP(B67,Restaurants!$A$2:$A$16,Restaurants!$B$2:$B$16,"Unknown")</f>
        <v>Desi Zaika</v>
      </c>
      <c r="K67" t="str">
        <f>_xlfn.XLOOKUP(B67,Restaurants!$A$2:$A$16,Restaurants!$D$2:$D$16,"Unknown")</f>
        <v>QSR</v>
      </c>
    </row>
    <row r="68" spans="1:11" x14ac:dyDescent="0.35">
      <c r="A68" t="s">
        <v>248</v>
      </c>
      <c r="B68" t="s">
        <v>100</v>
      </c>
      <c r="C68" t="s">
        <v>14</v>
      </c>
      <c r="D68" t="s">
        <v>86</v>
      </c>
      <c r="E68" s="1">
        <v>46272</v>
      </c>
      <c r="F68">
        <v>47</v>
      </c>
      <c r="G68">
        <v>3</v>
      </c>
      <c r="H68">
        <v>450</v>
      </c>
      <c r="I68" t="s">
        <v>18</v>
      </c>
      <c r="J68" t="str">
        <f>_xlfn.XLOOKUP(B68,Restaurants!$A$2:$A$16,Restaurants!$B$2:$B$16,"Unknown")</f>
        <v>China Garden</v>
      </c>
      <c r="K68" t="str">
        <f>_xlfn.XLOOKUP(B68,Restaurants!$A$2:$A$16,Restaurants!$D$2:$D$16,"Unknown")</f>
        <v>Dine-in</v>
      </c>
    </row>
    <row r="69" spans="1:11" x14ac:dyDescent="0.35">
      <c r="A69" t="s">
        <v>249</v>
      </c>
      <c r="B69" t="s">
        <v>102</v>
      </c>
      <c r="C69" t="s">
        <v>17</v>
      </c>
      <c r="D69" t="s">
        <v>90</v>
      </c>
      <c r="E69" s="1">
        <v>46273</v>
      </c>
      <c r="F69">
        <v>32</v>
      </c>
      <c r="G69">
        <v>5</v>
      </c>
      <c r="H69">
        <v>730</v>
      </c>
      <c r="I69" t="s">
        <v>11</v>
      </c>
      <c r="J69" t="str">
        <f>_xlfn.XLOOKUP(B69,Restaurants!$A$2:$A$16,Restaurants!$B$2:$B$16,"Unknown")</f>
        <v>Italiano</v>
      </c>
      <c r="K69" t="str">
        <f>_xlfn.XLOOKUP(B69,Restaurants!$A$2:$A$16,Restaurants!$D$2:$D$16,"Unknown")</f>
        <v>Cloud Kitchen</v>
      </c>
    </row>
    <row r="70" spans="1:11" x14ac:dyDescent="0.35">
      <c r="A70" t="s">
        <v>250</v>
      </c>
      <c r="B70" t="s">
        <v>104</v>
      </c>
      <c r="C70" t="s">
        <v>21</v>
      </c>
      <c r="D70" t="s">
        <v>94</v>
      </c>
      <c r="E70" s="1">
        <v>46274</v>
      </c>
      <c r="F70">
        <v>40</v>
      </c>
      <c r="G70">
        <v>4</v>
      </c>
      <c r="H70">
        <v>470</v>
      </c>
      <c r="I70" t="s">
        <v>11</v>
      </c>
      <c r="J70" t="str">
        <f>_xlfn.XLOOKUP(B70,Restaurants!$A$2:$A$16,Restaurants!$B$2:$B$16,"Unknown")</f>
        <v>Mexican Grill</v>
      </c>
      <c r="K70" t="str">
        <f>_xlfn.XLOOKUP(B70,Restaurants!$A$2:$A$16,Restaurants!$D$2:$D$16,"Unknown")</f>
        <v>Dine-in</v>
      </c>
    </row>
    <row r="71" spans="1:11" x14ac:dyDescent="0.35">
      <c r="A71" t="s">
        <v>251</v>
      </c>
      <c r="B71" t="s">
        <v>106</v>
      </c>
      <c r="C71" t="s">
        <v>24</v>
      </c>
      <c r="D71" t="s">
        <v>97</v>
      </c>
      <c r="E71" s="1">
        <v>46275</v>
      </c>
      <c r="F71">
        <v>46</v>
      </c>
      <c r="G71">
        <v>3</v>
      </c>
      <c r="H71">
        <v>505</v>
      </c>
      <c r="I71" t="s">
        <v>18</v>
      </c>
      <c r="J71" t="str">
        <f>_xlfn.XLOOKUP(B71,Restaurants!$A$2:$A$16,Restaurants!$B$2:$B$16,"Unknown")</f>
        <v>Food Factory</v>
      </c>
      <c r="K71" t="str">
        <f>_xlfn.XLOOKUP(B71,Restaurants!$A$2:$A$16,Restaurants!$D$2:$D$16,"Unknown")</f>
        <v>QSR</v>
      </c>
    </row>
    <row r="72" spans="1:11" x14ac:dyDescent="0.35">
      <c r="A72" t="s">
        <v>252</v>
      </c>
      <c r="B72" t="s">
        <v>108</v>
      </c>
      <c r="C72" t="s">
        <v>10</v>
      </c>
      <c r="D72" t="s">
        <v>82</v>
      </c>
      <c r="E72" s="1">
        <v>46276</v>
      </c>
      <c r="F72">
        <v>30</v>
      </c>
      <c r="G72">
        <v>5</v>
      </c>
      <c r="H72">
        <v>695</v>
      </c>
      <c r="I72" t="s">
        <v>11</v>
      </c>
      <c r="J72" t="str">
        <f>_xlfn.XLOOKUP(B72,Restaurants!$A$2:$A$16,Restaurants!$B$2:$B$16,"Unknown")</f>
        <v>Punjabi Tadka</v>
      </c>
      <c r="K72" t="str">
        <f>_xlfn.XLOOKUP(B72,Restaurants!$A$2:$A$16,Restaurants!$D$2:$D$16,"Unknown")</f>
        <v>Dine-in</v>
      </c>
    </row>
    <row r="73" spans="1:11" x14ac:dyDescent="0.35">
      <c r="A73" t="s">
        <v>253</v>
      </c>
      <c r="B73" t="s">
        <v>110</v>
      </c>
      <c r="C73" t="s">
        <v>14</v>
      </c>
      <c r="D73" t="s">
        <v>86</v>
      </c>
      <c r="E73" s="1">
        <v>46277</v>
      </c>
      <c r="F73">
        <v>38</v>
      </c>
      <c r="G73">
        <v>4</v>
      </c>
      <c r="H73">
        <v>480</v>
      </c>
      <c r="I73" t="s">
        <v>11</v>
      </c>
      <c r="J73" t="str">
        <f>_xlfn.XLOOKUP(B73,Restaurants!$A$2:$A$16,Restaurants!$B$2:$B$16,"Unknown")</f>
        <v>Wok Express</v>
      </c>
      <c r="K73" t="str">
        <f>_xlfn.XLOOKUP(B73,Restaurants!$A$2:$A$16,Restaurants!$D$2:$D$16,"Unknown")</f>
        <v>Cloud Kitchen</v>
      </c>
    </row>
    <row r="74" spans="1:11" x14ac:dyDescent="0.35">
      <c r="A74" t="s">
        <v>254</v>
      </c>
      <c r="B74" t="s">
        <v>112</v>
      </c>
      <c r="C74" t="s">
        <v>17</v>
      </c>
      <c r="D74" t="s">
        <v>90</v>
      </c>
      <c r="E74" s="1">
        <v>46278</v>
      </c>
      <c r="F74">
        <v>29</v>
      </c>
      <c r="G74">
        <v>5</v>
      </c>
      <c r="H74">
        <v>755</v>
      </c>
      <c r="I74" t="s">
        <v>11</v>
      </c>
      <c r="J74" t="str">
        <f>_xlfn.XLOOKUP(B74,Restaurants!$A$2:$A$16,Restaurants!$B$2:$B$16,"Unknown")</f>
        <v>Pizza Corner</v>
      </c>
      <c r="K74" t="str">
        <f>_xlfn.XLOOKUP(B74,Restaurants!$A$2:$A$16,Restaurants!$D$2:$D$16,"Unknown")</f>
        <v>QSR</v>
      </c>
    </row>
    <row r="75" spans="1:11" x14ac:dyDescent="0.35">
      <c r="A75" t="s">
        <v>255</v>
      </c>
      <c r="B75" t="s">
        <v>114</v>
      </c>
      <c r="C75" t="s">
        <v>21</v>
      </c>
      <c r="D75" t="s">
        <v>94</v>
      </c>
      <c r="E75" s="1">
        <v>46279</v>
      </c>
      <c r="F75">
        <v>50</v>
      </c>
      <c r="G75">
        <v>3</v>
      </c>
      <c r="H75">
        <v>405</v>
      </c>
      <c r="I75" t="s">
        <v>18</v>
      </c>
      <c r="J75" t="str">
        <f>_xlfn.XLOOKUP(B75,Restaurants!$A$2:$A$16,Restaurants!$B$2:$B$16,"Unknown")</f>
        <v>Burrito House</v>
      </c>
      <c r="K75" t="str">
        <f>_xlfn.XLOOKUP(B75,Restaurants!$A$2:$A$16,Restaurants!$D$2:$D$16,"Unknown")</f>
        <v>Cloud Kitchen</v>
      </c>
    </row>
    <row r="76" spans="1:11" x14ac:dyDescent="0.35">
      <c r="A76" t="s">
        <v>256</v>
      </c>
      <c r="B76" t="s">
        <v>116</v>
      </c>
      <c r="C76" t="s">
        <v>24</v>
      </c>
      <c r="D76" t="s">
        <v>97</v>
      </c>
      <c r="E76" s="1">
        <v>46280</v>
      </c>
      <c r="F76">
        <v>36</v>
      </c>
      <c r="G76">
        <v>4</v>
      </c>
      <c r="H76">
        <v>555</v>
      </c>
      <c r="I76" t="s">
        <v>11</v>
      </c>
      <c r="J76" t="str">
        <f>_xlfn.XLOOKUP(B76,Restaurants!$A$2:$A$16,Restaurants!$B$2:$B$16,"Unknown")</f>
        <v>Ahmedabad Bites</v>
      </c>
      <c r="K76" t="str">
        <f>_xlfn.XLOOKUP(B76,Restaurants!$A$2:$A$16,Restaurants!$D$2:$D$16,"Unknown")</f>
        <v>Dine-in</v>
      </c>
    </row>
    <row r="77" spans="1:11" x14ac:dyDescent="0.35">
      <c r="A77" t="s">
        <v>257</v>
      </c>
      <c r="B77" t="s">
        <v>80</v>
      </c>
      <c r="C77" t="s">
        <v>10</v>
      </c>
      <c r="D77" t="s">
        <v>82</v>
      </c>
      <c r="E77" s="1">
        <v>46281</v>
      </c>
      <c r="F77">
        <v>33</v>
      </c>
      <c r="G77">
        <v>4</v>
      </c>
      <c r="H77">
        <v>645</v>
      </c>
      <c r="I77" t="s">
        <v>11</v>
      </c>
      <c r="J77" t="str">
        <f>_xlfn.XLOOKUP(B77,Restaurants!$A$2:$A$16,Restaurants!$B$2:$B$16,"Unknown")</f>
        <v>Spice Hub</v>
      </c>
      <c r="K77" t="str">
        <f>_xlfn.XLOOKUP(B77,Restaurants!$A$2:$A$16,Restaurants!$D$2:$D$16,"Unknown")</f>
        <v>Cloud Kitchen</v>
      </c>
    </row>
    <row r="78" spans="1:11" x14ac:dyDescent="0.35">
      <c r="A78" t="s">
        <v>258</v>
      </c>
      <c r="B78" t="s">
        <v>84</v>
      </c>
      <c r="C78" t="s">
        <v>14</v>
      </c>
      <c r="D78" t="s">
        <v>86</v>
      </c>
      <c r="E78" s="1">
        <v>46282</v>
      </c>
      <c r="F78">
        <v>44</v>
      </c>
      <c r="G78">
        <v>3</v>
      </c>
      <c r="H78">
        <v>460</v>
      </c>
      <c r="I78" t="s">
        <v>18</v>
      </c>
      <c r="J78" t="str">
        <f>_xlfn.XLOOKUP(B78,Restaurants!$A$2:$A$16,Restaurants!$B$2:$B$16,"Unknown")</f>
        <v>Dragon Bowl</v>
      </c>
      <c r="K78" t="str">
        <f>_xlfn.XLOOKUP(B78,Restaurants!$A$2:$A$16,Restaurants!$D$2:$D$16,"Unknown")</f>
        <v>QSR</v>
      </c>
    </row>
    <row r="79" spans="1:11" x14ac:dyDescent="0.35">
      <c r="A79" t="s">
        <v>259</v>
      </c>
      <c r="B79" t="s">
        <v>88</v>
      </c>
      <c r="C79" t="s">
        <v>17</v>
      </c>
      <c r="D79" t="s">
        <v>90</v>
      </c>
      <c r="E79" s="1">
        <v>46283</v>
      </c>
      <c r="F79">
        <v>26</v>
      </c>
      <c r="G79">
        <v>5</v>
      </c>
      <c r="H79">
        <v>795</v>
      </c>
      <c r="I79" t="s">
        <v>11</v>
      </c>
      <c r="J79" t="str">
        <f>_xlfn.XLOOKUP(B79,Restaurants!$A$2:$A$16,Restaurants!$B$2:$B$16,"Unknown")</f>
        <v>Pasta Point</v>
      </c>
      <c r="K79" t="str">
        <f>_xlfn.XLOOKUP(B79,Restaurants!$A$2:$A$16,Restaurants!$D$2:$D$16,"Unknown")</f>
        <v>Dine-in</v>
      </c>
    </row>
    <row r="80" spans="1:11" x14ac:dyDescent="0.35">
      <c r="A80" t="s">
        <v>260</v>
      </c>
      <c r="B80" t="s">
        <v>92</v>
      </c>
      <c r="C80" t="s">
        <v>21</v>
      </c>
      <c r="D80" t="s">
        <v>94</v>
      </c>
      <c r="E80" s="1">
        <v>46284</v>
      </c>
      <c r="F80">
        <v>42</v>
      </c>
      <c r="G80">
        <v>4</v>
      </c>
      <c r="H80">
        <v>435</v>
      </c>
      <c r="I80" t="s">
        <v>18</v>
      </c>
      <c r="J80" t="str">
        <f>_xlfn.XLOOKUP(B80,Restaurants!$A$2:$A$16,Restaurants!$B$2:$B$16,"Unknown")</f>
        <v>Taco Town</v>
      </c>
      <c r="K80" t="str">
        <f>_xlfn.XLOOKUP(B80,Restaurants!$A$2:$A$16,Restaurants!$D$2:$D$16,"Unknown")</f>
        <v>QSR</v>
      </c>
    </row>
    <row r="81" spans="1:11" x14ac:dyDescent="0.35">
      <c r="A81" t="s">
        <v>261</v>
      </c>
      <c r="B81" t="s">
        <v>95</v>
      </c>
      <c r="C81" t="s">
        <v>24</v>
      </c>
      <c r="D81" t="s">
        <v>97</v>
      </c>
      <c r="E81" s="1">
        <v>46285</v>
      </c>
      <c r="F81">
        <v>35</v>
      </c>
      <c r="G81">
        <v>4</v>
      </c>
      <c r="H81">
        <v>525</v>
      </c>
      <c r="I81" t="s">
        <v>11</v>
      </c>
      <c r="J81" t="str">
        <f>_xlfn.XLOOKUP(B81,Restaurants!$A$2:$A$16,Restaurants!$B$2:$B$16,"Unknown")</f>
        <v>Curry House</v>
      </c>
      <c r="K81" t="str">
        <f>_xlfn.XLOOKUP(B81,Restaurants!$A$2:$A$16,Restaurants!$D$2:$D$16,"Unknown")</f>
        <v>Dine-in</v>
      </c>
    </row>
    <row r="82" spans="1:11" x14ac:dyDescent="0.35">
      <c r="A82" t="s">
        <v>262</v>
      </c>
      <c r="B82" t="s">
        <v>98</v>
      </c>
      <c r="C82" t="s">
        <v>10</v>
      </c>
      <c r="D82" t="s">
        <v>82</v>
      </c>
      <c r="E82" s="1">
        <v>46286</v>
      </c>
      <c r="F82">
        <v>28</v>
      </c>
      <c r="G82">
        <v>5</v>
      </c>
      <c r="H82">
        <v>710</v>
      </c>
      <c r="I82" t="s">
        <v>11</v>
      </c>
      <c r="J82" t="str">
        <f>_xlfn.XLOOKUP(B82,Restaurants!$A$2:$A$16,Restaurants!$B$2:$B$16,"Unknown")</f>
        <v>Desi Zaika</v>
      </c>
      <c r="K82" t="str">
        <f>_xlfn.XLOOKUP(B82,Restaurants!$A$2:$A$16,Restaurants!$D$2:$D$16,"Unknown")</f>
        <v>QSR</v>
      </c>
    </row>
    <row r="83" spans="1:11" x14ac:dyDescent="0.35">
      <c r="A83" t="s">
        <v>263</v>
      </c>
      <c r="B83" t="s">
        <v>100</v>
      </c>
      <c r="C83" t="s">
        <v>14</v>
      </c>
      <c r="D83" t="s">
        <v>86</v>
      </c>
      <c r="E83" s="1">
        <v>46287</v>
      </c>
      <c r="F83">
        <v>41</v>
      </c>
      <c r="G83">
        <v>4</v>
      </c>
      <c r="H83">
        <v>475</v>
      </c>
      <c r="I83" t="s">
        <v>11</v>
      </c>
      <c r="J83" t="str">
        <f>_xlfn.XLOOKUP(B83,Restaurants!$A$2:$A$16,Restaurants!$B$2:$B$16,"Unknown")</f>
        <v>China Garden</v>
      </c>
      <c r="K83" t="str">
        <f>_xlfn.XLOOKUP(B83,Restaurants!$A$2:$A$16,Restaurants!$D$2:$D$16,"Unknown")</f>
        <v>Dine-in</v>
      </c>
    </row>
    <row r="84" spans="1:11" x14ac:dyDescent="0.35">
      <c r="A84" t="s">
        <v>264</v>
      </c>
      <c r="B84" t="s">
        <v>102</v>
      </c>
      <c r="C84" t="s">
        <v>17</v>
      </c>
      <c r="D84" t="s">
        <v>90</v>
      </c>
      <c r="E84" s="1">
        <v>46288</v>
      </c>
      <c r="F84">
        <v>30</v>
      </c>
      <c r="G84">
        <v>5</v>
      </c>
      <c r="H84">
        <v>765</v>
      </c>
      <c r="I84" t="s">
        <v>11</v>
      </c>
      <c r="J84" t="str">
        <f>_xlfn.XLOOKUP(B84,Restaurants!$A$2:$A$16,Restaurants!$B$2:$B$16,"Unknown")</f>
        <v>Italiano</v>
      </c>
      <c r="K84" t="str">
        <f>_xlfn.XLOOKUP(B84,Restaurants!$A$2:$A$16,Restaurants!$D$2:$D$16,"Unknown")</f>
        <v>Cloud Kitchen</v>
      </c>
    </row>
    <row r="85" spans="1:11" x14ac:dyDescent="0.35">
      <c r="A85" t="s">
        <v>265</v>
      </c>
      <c r="B85" t="s">
        <v>104</v>
      </c>
      <c r="C85" t="s">
        <v>21</v>
      </c>
      <c r="D85" t="s">
        <v>94</v>
      </c>
      <c r="E85" s="1">
        <v>46289</v>
      </c>
      <c r="F85">
        <v>38</v>
      </c>
      <c r="G85">
        <v>4</v>
      </c>
      <c r="H85">
        <v>455</v>
      </c>
      <c r="I85" t="s">
        <v>11</v>
      </c>
      <c r="J85" t="str">
        <f>_xlfn.XLOOKUP(B85,Restaurants!$A$2:$A$16,Restaurants!$B$2:$B$16,"Unknown")</f>
        <v>Mexican Grill</v>
      </c>
      <c r="K85" t="str">
        <f>_xlfn.XLOOKUP(B85,Restaurants!$A$2:$A$16,Restaurants!$D$2:$D$16,"Unknown")</f>
        <v>Dine-in</v>
      </c>
    </row>
    <row r="86" spans="1:11" x14ac:dyDescent="0.35">
      <c r="A86" t="s">
        <v>266</v>
      </c>
      <c r="B86" t="s">
        <v>106</v>
      </c>
      <c r="C86" t="s">
        <v>24</v>
      </c>
      <c r="D86" t="s">
        <v>97</v>
      </c>
      <c r="E86" s="1">
        <v>46290</v>
      </c>
      <c r="F86">
        <v>43</v>
      </c>
      <c r="G86">
        <v>3</v>
      </c>
      <c r="H86">
        <v>535</v>
      </c>
      <c r="I86" t="s">
        <v>18</v>
      </c>
      <c r="J86" t="str">
        <f>_xlfn.XLOOKUP(B86,Restaurants!$A$2:$A$16,Restaurants!$B$2:$B$16,"Unknown")</f>
        <v>Food Factory</v>
      </c>
      <c r="K86" t="str">
        <f>_xlfn.XLOOKUP(B86,Restaurants!$A$2:$A$16,Restaurants!$D$2:$D$16,"Unknown")</f>
        <v>QSR</v>
      </c>
    </row>
    <row r="87" spans="1:11" x14ac:dyDescent="0.35">
      <c r="A87" t="s">
        <v>267</v>
      </c>
      <c r="B87" t="s">
        <v>108</v>
      </c>
      <c r="C87" t="s">
        <v>10</v>
      </c>
      <c r="D87" t="s">
        <v>82</v>
      </c>
      <c r="E87" s="1">
        <v>46291</v>
      </c>
      <c r="F87">
        <v>32</v>
      </c>
      <c r="G87">
        <v>5</v>
      </c>
      <c r="H87">
        <v>680</v>
      </c>
      <c r="I87" t="s">
        <v>11</v>
      </c>
      <c r="J87" t="str">
        <f>_xlfn.XLOOKUP(B87,Restaurants!$A$2:$A$16,Restaurants!$B$2:$B$16,"Unknown")</f>
        <v>Punjabi Tadka</v>
      </c>
      <c r="K87" t="str">
        <f>_xlfn.XLOOKUP(B87,Restaurants!$A$2:$A$16,Restaurants!$D$2:$D$16,"Unknown")</f>
        <v>Dine-in</v>
      </c>
    </row>
    <row r="88" spans="1:11" x14ac:dyDescent="0.35">
      <c r="A88" t="s">
        <v>268</v>
      </c>
      <c r="B88" t="s">
        <v>110</v>
      </c>
      <c r="C88" t="s">
        <v>14</v>
      </c>
      <c r="D88" t="s">
        <v>86</v>
      </c>
      <c r="E88" s="1">
        <v>46292</v>
      </c>
      <c r="F88">
        <v>49</v>
      </c>
      <c r="G88">
        <v>3</v>
      </c>
      <c r="H88">
        <v>420</v>
      </c>
      <c r="I88" t="s">
        <v>18</v>
      </c>
      <c r="J88" t="str">
        <f>_xlfn.XLOOKUP(B88,Restaurants!$A$2:$A$16,Restaurants!$B$2:$B$16,"Unknown")</f>
        <v>Wok Express</v>
      </c>
      <c r="K88" t="str">
        <f>_xlfn.XLOOKUP(B88,Restaurants!$A$2:$A$16,Restaurants!$D$2:$D$16,"Unknown")</f>
        <v>Cloud Kitchen</v>
      </c>
    </row>
    <row r="89" spans="1:11" x14ac:dyDescent="0.35">
      <c r="A89" t="s">
        <v>269</v>
      </c>
      <c r="B89" t="s">
        <v>112</v>
      </c>
      <c r="C89" t="s">
        <v>17</v>
      </c>
      <c r="D89" t="s">
        <v>90</v>
      </c>
      <c r="E89" s="1">
        <v>46293</v>
      </c>
      <c r="F89">
        <v>27</v>
      </c>
      <c r="G89">
        <v>5</v>
      </c>
      <c r="H89">
        <v>810</v>
      </c>
      <c r="I89" t="s">
        <v>11</v>
      </c>
      <c r="J89" t="str">
        <f>_xlfn.XLOOKUP(B89,Restaurants!$A$2:$A$16,Restaurants!$B$2:$B$16,"Unknown")</f>
        <v>Pizza Corner</v>
      </c>
      <c r="K89" t="str">
        <f>_xlfn.XLOOKUP(B89,Restaurants!$A$2:$A$16,Restaurants!$D$2:$D$16,"Unknown")</f>
        <v>QSR</v>
      </c>
    </row>
    <row r="90" spans="1:11" x14ac:dyDescent="0.35">
      <c r="A90" t="s">
        <v>270</v>
      </c>
      <c r="B90" t="s">
        <v>114</v>
      </c>
      <c r="C90" t="s">
        <v>21</v>
      </c>
      <c r="D90" t="s">
        <v>94</v>
      </c>
      <c r="E90" s="1">
        <v>46294</v>
      </c>
      <c r="F90">
        <v>40</v>
      </c>
      <c r="G90">
        <v>4</v>
      </c>
      <c r="H90">
        <v>445</v>
      </c>
      <c r="I90" t="s">
        <v>11</v>
      </c>
      <c r="J90" t="str">
        <f>_xlfn.XLOOKUP(B90,Restaurants!$A$2:$A$16,Restaurants!$B$2:$B$16,"Unknown")</f>
        <v>Burrito House</v>
      </c>
      <c r="K90" t="str">
        <f>_xlfn.XLOOKUP(B90,Restaurants!$A$2:$A$16,Restaurants!$D$2:$D$16,"Unknown")</f>
        <v>Cloud Kitchen</v>
      </c>
    </row>
    <row r="91" spans="1:11" x14ac:dyDescent="0.35">
      <c r="A91" t="s">
        <v>271</v>
      </c>
      <c r="B91" t="s">
        <v>116</v>
      </c>
      <c r="C91" t="s">
        <v>24</v>
      </c>
      <c r="D91" t="s">
        <v>97</v>
      </c>
      <c r="E91" s="1">
        <v>46295</v>
      </c>
      <c r="F91">
        <v>37</v>
      </c>
      <c r="G91">
        <v>4</v>
      </c>
      <c r="H91">
        <v>550</v>
      </c>
      <c r="I91" t="s">
        <v>11</v>
      </c>
      <c r="J91" t="str">
        <f>_xlfn.XLOOKUP(B91,Restaurants!$A$2:$A$16,Restaurants!$B$2:$B$16,"Unknown")</f>
        <v>Ahmedabad Bites</v>
      </c>
      <c r="K91" t="str">
        <f>_xlfn.XLOOKUP(B91,Restaurants!$A$2:$A$16,Restaurants!$D$2:$D$16,"Unknown")</f>
        <v>Dine-in</v>
      </c>
    </row>
    <row r="92" spans="1:11" x14ac:dyDescent="0.35">
      <c r="A92" t="s">
        <v>272</v>
      </c>
      <c r="B92" t="s">
        <v>80</v>
      </c>
      <c r="C92" t="s">
        <v>10</v>
      </c>
      <c r="D92" t="s">
        <v>82</v>
      </c>
      <c r="E92" s="1">
        <v>46296</v>
      </c>
      <c r="F92">
        <v>29</v>
      </c>
      <c r="G92">
        <v>5</v>
      </c>
      <c r="H92">
        <v>670</v>
      </c>
      <c r="I92" t="s">
        <v>11</v>
      </c>
      <c r="J92" t="str">
        <f>_xlfn.XLOOKUP(B92,Restaurants!$A$2:$A$16,Restaurants!$B$2:$B$16,"Unknown")</f>
        <v>Spice Hub</v>
      </c>
      <c r="K92" t="str">
        <f>_xlfn.XLOOKUP(B92,Restaurants!$A$2:$A$16,Restaurants!$D$2:$D$16,"Unknown")</f>
        <v>Cloud Kitchen</v>
      </c>
    </row>
    <row r="93" spans="1:11" x14ac:dyDescent="0.35">
      <c r="A93" t="s">
        <v>273</v>
      </c>
      <c r="B93" t="s">
        <v>84</v>
      </c>
      <c r="C93" t="s">
        <v>14</v>
      </c>
      <c r="D93" t="s">
        <v>86</v>
      </c>
      <c r="E93" s="1">
        <v>46297</v>
      </c>
      <c r="F93">
        <v>39</v>
      </c>
      <c r="G93">
        <v>4</v>
      </c>
      <c r="H93">
        <v>485</v>
      </c>
      <c r="I93" t="s">
        <v>11</v>
      </c>
      <c r="J93" t="str">
        <f>_xlfn.XLOOKUP(B93,Restaurants!$A$2:$A$16,Restaurants!$B$2:$B$16,"Unknown")</f>
        <v>Dragon Bowl</v>
      </c>
      <c r="K93" t="str">
        <f>_xlfn.XLOOKUP(B93,Restaurants!$A$2:$A$16,Restaurants!$D$2:$D$16,"Unknown")</f>
        <v>QSR</v>
      </c>
    </row>
    <row r="94" spans="1:11" x14ac:dyDescent="0.35">
      <c r="A94" t="s">
        <v>274</v>
      </c>
      <c r="B94" t="s">
        <v>88</v>
      </c>
      <c r="C94" t="s">
        <v>17</v>
      </c>
      <c r="D94" t="s">
        <v>90</v>
      </c>
      <c r="E94" s="1">
        <v>46298</v>
      </c>
      <c r="F94">
        <v>31</v>
      </c>
      <c r="G94">
        <v>5</v>
      </c>
      <c r="H94">
        <v>775</v>
      </c>
      <c r="I94" t="s">
        <v>11</v>
      </c>
      <c r="J94" t="str">
        <f>_xlfn.XLOOKUP(B94,Restaurants!$A$2:$A$16,Restaurants!$B$2:$B$16,"Unknown")</f>
        <v>Pasta Point</v>
      </c>
      <c r="K94" t="str">
        <f>_xlfn.XLOOKUP(B94,Restaurants!$A$2:$A$16,Restaurants!$D$2:$D$16,"Unknown")</f>
        <v>Dine-in</v>
      </c>
    </row>
    <row r="95" spans="1:11" x14ac:dyDescent="0.35">
      <c r="A95" t="s">
        <v>275</v>
      </c>
      <c r="B95" t="s">
        <v>92</v>
      </c>
      <c r="C95" t="s">
        <v>21</v>
      </c>
      <c r="D95" t="s">
        <v>94</v>
      </c>
      <c r="E95" s="1">
        <v>46299</v>
      </c>
      <c r="F95">
        <v>48</v>
      </c>
      <c r="G95">
        <v>3</v>
      </c>
      <c r="H95">
        <v>415</v>
      </c>
      <c r="I95" t="s">
        <v>18</v>
      </c>
      <c r="J95" t="str">
        <f>_xlfn.XLOOKUP(B95,Restaurants!$A$2:$A$16,Restaurants!$B$2:$B$16,"Unknown")</f>
        <v>Taco Town</v>
      </c>
      <c r="K95" t="str">
        <f>_xlfn.XLOOKUP(B95,Restaurants!$A$2:$A$16,Restaurants!$D$2:$D$16,"Unknown")</f>
        <v>QSR</v>
      </c>
    </row>
    <row r="96" spans="1:11" x14ac:dyDescent="0.35">
      <c r="A96" t="s">
        <v>276</v>
      </c>
      <c r="B96" t="s">
        <v>95</v>
      </c>
      <c r="C96" t="s">
        <v>24</v>
      </c>
      <c r="D96" t="s">
        <v>97</v>
      </c>
      <c r="E96" s="1">
        <v>46300</v>
      </c>
      <c r="F96">
        <v>34</v>
      </c>
      <c r="G96">
        <v>4</v>
      </c>
      <c r="H96">
        <v>560</v>
      </c>
      <c r="I96" t="s">
        <v>11</v>
      </c>
      <c r="J96" t="str">
        <f>_xlfn.XLOOKUP(B96,Restaurants!$A$2:$A$16,Restaurants!$B$2:$B$16,"Unknown")</f>
        <v>Curry House</v>
      </c>
      <c r="K96" t="str">
        <f>_xlfn.XLOOKUP(B96,Restaurants!$A$2:$A$16,Restaurants!$D$2:$D$16,"Unknown")</f>
        <v>Dine-in</v>
      </c>
    </row>
    <row r="97" spans="1:11" x14ac:dyDescent="0.35">
      <c r="A97" t="s">
        <v>277</v>
      </c>
      <c r="B97" t="s">
        <v>98</v>
      </c>
      <c r="C97" t="s">
        <v>10</v>
      </c>
      <c r="D97" t="s">
        <v>82</v>
      </c>
      <c r="E97" s="1">
        <v>46301</v>
      </c>
      <c r="F97">
        <v>27</v>
      </c>
      <c r="G97">
        <v>5</v>
      </c>
      <c r="H97">
        <v>700</v>
      </c>
      <c r="I97" t="s">
        <v>11</v>
      </c>
      <c r="J97" t="str">
        <f>_xlfn.XLOOKUP(B97,Restaurants!$A$2:$A$16,Restaurants!$B$2:$B$16,"Unknown")</f>
        <v>Desi Zaika</v>
      </c>
      <c r="K97" t="str">
        <f>_xlfn.XLOOKUP(B97,Restaurants!$A$2:$A$16,Restaurants!$D$2:$D$16,"Unknown")</f>
        <v>QSR</v>
      </c>
    </row>
    <row r="98" spans="1:11" x14ac:dyDescent="0.35">
      <c r="A98" t="s">
        <v>278</v>
      </c>
      <c r="B98" t="s">
        <v>100</v>
      </c>
      <c r="C98" t="s">
        <v>14</v>
      </c>
      <c r="D98" t="s">
        <v>86</v>
      </c>
      <c r="E98" s="1">
        <v>46302</v>
      </c>
      <c r="F98">
        <v>45</v>
      </c>
      <c r="G98">
        <v>3</v>
      </c>
      <c r="H98">
        <v>455</v>
      </c>
      <c r="I98" t="s">
        <v>18</v>
      </c>
      <c r="J98" t="str">
        <f>_xlfn.XLOOKUP(B98,Restaurants!$A$2:$A$16,Restaurants!$B$2:$B$16,"Unknown")</f>
        <v>China Garden</v>
      </c>
      <c r="K98" t="str">
        <f>_xlfn.XLOOKUP(B98,Restaurants!$A$2:$A$16,Restaurants!$D$2:$D$16,"Unknown")</f>
        <v>Dine-in</v>
      </c>
    </row>
    <row r="99" spans="1:11" x14ac:dyDescent="0.35">
      <c r="A99" t="s">
        <v>279</v>
      </c>
      <c r="B99" t="s">
        <v>102</v>
      </c>
      <c r="C99" t="s">
        <v>17</v>
      </c>
      <c r="D99" t="s">
        <v>90</v>
      </c>
      <c r="E99" s="1">
        <v>46303</v>
      </c>
      <c r="F99">
        <v>30</v>
      </c>
      <c r="G99">
        <v>5</v>
      </c>
      <c r="H99">
        <v>740</v>
      </c>
      <c r="I99" t="s">
        <v>11</v>
      </c>
      <c r="J99" t="str">
        <f>_xlfn.XLOOKUP(B99,Restaurants!$A$2:$A$16,Restaurants!$B$2:$B$16,"Unknown")</f>
        <v>Italiano</v>
      </c>
      <c r="K99" t="str">
        <f>_xlfn.XLOOKUP(B99,Restaurants!$A$2:$A$16,Restaurants!$D$2:$D$16,"Unknown")</f>
        <v>Cloud Kitchen</v>
      </c>
    </row>
    <row r="100" spans="1:11" x14ac:dyDescent="0.35">
      <c r="A100" t="s">
        <v>280</v>
      </c>
      <c r="B100" t="s">
        <v>104</v>
      </c>
      <c r="C100" t="s">
        <v>21</v>
      </c>
      <c r="D100" t="s">
        <v>94</v>
      </c>
      <c r="E100" s="1">
        <v>46304</v>
      </c>
      <c r="F100">
        <v>41</v>
      </c>
      <c r="G100">
        <v>4</v>
      </c>
      <c r="H100">
        <v>465</v>
      </c>
      <c r="I100" t="s">
        <v>18</v>
      </c>
      <c r="J100" t="str">
        <f>_xlfn.XLOOKUP(B100,Restaurants!$A$2:$A$16,Restaurants!$B$2:$B$16,"Unknown")</f>
        <v>Mexican Grill</v>
      </c>
      <c r="K100" t="str">
        <f>_xlfn.XLOOKUP(B100,Restaurants!$A$2:$A$16,Restaurants!$D$2:$D$16,"Unknown")</f>
        <v>Dine-in</v>
      </c>
    </row>
    <row r="101" spans="1:11" x14ac:dyDescent="0.35">
      <c r="A101" t="s">
        <v>281</v>
      </c>
      <c r="B101" t="s">
        <v>106</v>
      </c>
      <c r="C101" t="s">
        <v>24</v>
      </c>
      <c r="D101" t="s">
        <v>97</v>
      </c>
      <c r="E101" s="1">
        <v>46305</v>
      </c>
      <c r="F101">
        <v>36</v>
      </c>
      <c r="G101">
        <v>4</v>
      </c>
      <c r="H101">
        <v>530</v>
      </c>
      <c r="I101" t="s">
        <v>11</v>
      </c>
      <c r="J101" t="str">
        <f>_xlfn.XLOOKUP(B101,Restaurants!$A$2:$A$16,Restaurants!$B$2:$B$16,"Unknown")</f>
        <v>Food Factory</v>
      </c>
      <c r="K101" t="str">
        <f>_xlfn.XLOOKUP(B101,Restaurants!$A$2:$A$16,Restaurants!$D$2:$D$16,"Unknown")</f>
        <v>QSR</v>
      </c>
    </row>
    <row r="102" spans="1:11" x14ac:dyDescent="0.35">
      <c r="A102" t="s">
        <v>282</v>
      </c>
      <c r="B102" t="s">
        <v>108</v>
      </c>
      <c r="C102" t="s">
        <v>10</v>
      </c>
      <c r="D102" t="s">
        <v>82</v>
      </c>
      <c r="E102" s="1">
        <v>46306</v>
      </c>
      <c r="F102">
        <v>32</v>
      </c>
      <c r="G102">
        <v>5</v>
      </c>
      <c r="H102">
        <v>690</v>
      </c>
      <c r="I102" t="s">
        <v>11</v>
      </c>
      <c r="J102" t="str">
        <f>_xlfn.XLOOKUP(B102,Restaurants!$A$2:$A$16,Restaurants!$B$2:$B$16,"Unknown")</f>
        <v>Punjabi Tadka</v>
      </c>
      <c r="K102" t="str">
        <f>_xlfn.XLOOKUP(B102,Restaurants!$A$2:$A$16,Restaurants!$D$2:$D$16,"Unknown")</f>
        <v>Dine-in</v>
      </c>
    </row>
    <row r="103" spans="1:11" x14ac:dyDescent="0.35">
      <c r="A103" t="s">
        <v>283</v>
      </c>
      <c r="B103" t="s">
        <v>110</v>
      </c>
      <c r="C103" t="s">
        <v>14</v>
      </c>
      <c r="D103" t="s">
        <v>86</v>
      </c>
      <c r="E103" s="1">
        <v>46307</v>
      </c>
      <c r="F103">
        <v>43</v>
      </c>
      <c r="G103">
        <v>3</v>
      </c>
      <c r="H103">
        <v>440</v>
      </c>
      <c r="I103" t="s">
        <v>18</v>
      </c>
      <c r="J103" t="str">
        <f>_xlfn.XLOOKUP(B103,Restaurants!$A$2:$A$16,Restaurants!$B$2:$B$16,"Unknown")</f>
        <v>Wok Express</v>
      </c>
      <c r="K103" t="str">
        <f>_xlfn.XLOOKUP(B103,Restaurants!$A$2:$A$16,Restaurants!$D$2:$D$16,"Unknown")</f>
        <v>Cloud Kitchen</v>
      </c>
    </row>
    <row r="104" spans="1:11" x14ac:dyDescent="0.35">
      <c r="A104" t="s">
        <v>284</v>
      </c>
      <c r="B104" t="s">
        <v>112</v>
      </c>
      <c r="C104" t="s">
        <v>17</v>
      </c>
      <c r="D104" t="s">
        <v>90</v>
      </c>
      <c r="E104" s="1">
        <v>46308</v>
      </c>
      <c r="F104">
        <v>28</v>
      </c>
      <c r="G104">
        <v>5</v>
      </c>
      <c r="H104">
        <v>785</v>
      </c>
      <c r="I104" t="s">
        <v>11</v>
      </c>
      <c r="J104" t="str">
        <f>_xlfn.XLOOKUP(B104,Restaurants!$A$2:$A$16,Restaurants!$B$2:$B$16,"Unknown")</f>
        <v>Pizza Corner</v>
      </c>
      <c r="K104" t="str">
        <f>_xlfn.XLOOKUP(B104,Restaurants!$A$2:$A$16,Restaurants!$D$2:$D$16,"Unknown")</f>
        <v>QSR</v>
      </c>
    </row>
    <row r="105" spans="1:11" x14ac:dyDescent="0.35">
      <c r="A105" t="s">
        <v>285</v>
      </c>
      <c r="B105" t="s">
        <v>114</v>
      </c>
      <c r="C105" t="s">
        <v>21</v>
      </c>
      <c r="D105" t="s">
        <v>94</v>
      </c>
      <c r="E105" s="1">
        <v>46309</v>
      </c>
      <c r="F105">
        <v>47</v>
      </c>
      <c r="G105">
        <v>3</v>
      </c>
      <c r="H105">
        <v>425</v>
      </c>
      <c r="I105" t="s">
        <v>18</v>
      </c>
      <c r="J105" t="str">
        <f>_xlfn.XLOOKUP(B105,Restaurants!$A$2:$A$16,Restaurants!$B$2:$B$16,"Unknown")</f>
        <v>Burrito House</v>
      </c>
      <c r="K105" t="str">
        <f>_xlfn.XLOOKUP(B105,Restaurants!$A$2:$A$16,Restaurants!$D$2:$D$16,"Unknown")</f>
        <v>Cloud Kitchen</v>
      </c>
    </row>
    <row r="106" spans="1:11" x14ac:dyDescent="0.35">
      <c r="A106" t="s">
        <v>286</v>
      </c>
      <c r="B106" t="s">
        <v>116</v>
      </c>
      <c r="C106" t="s">
        <v>24</v>
      </c>
      <c r="D106" t="s">
        <v>97</v>
      </c>
      <c r="E106" s="1">
        <v>46310</v>
      </c>
      <c r="F106">
        <v>35</v>
      </c>
      <c r="G106">
        <v>4</v>
      </c>
      <c r="H106">
        <v>570</v>
      </c>
      <c r="I106" t="s">
        <v>11</v>
      </c>
      <c r="J106" t="str">
        <f>_xlfn.XLOOKUP(B106,Restaurants!$A$2:$A$16,Restaurants!$B$2:$B$16,"Unknown")</f>
        <v>Ahmedabad Bites</v>
      </c>
      <c r="K106" t="str">
        <f>_xlfn.XLOOKUP(B106,Restaurants!$A$2:$A$16,Restaurants!$D$2:$D$16,"Unknown")</f>
        <v>Dine-in</v>
      </c>
    </row>
    <row r="107" spans="1:11" x14ac:dyDescent="0.35">
      <c r="A107" t="s">
        <v>287</v>
      </c>
      <c r="B107" t="s">
        <v>80</v>
      </c>
      <c r="C107" t="s">
        <v>10</v>
      </c>
      <c r="D107" t="s">
        <v>82</v>
      </c>
      <c r="E107" s="1">
        <v>46311</v>
      </c>
      <c r="F107">
        <v>30</v>
      </c>
      <c r="G107">
        <v>5</v>
      </c>
      <c r="H107">
        <v>655</v>
      </c>
      <c r="I107" t="s">
        <v>11</v>
      </c>
      <c r="J107" t="str">
        <f>_xlfn.XLOOKUP(B107,Restaurants!$A$2:$A$16,Restaurants!$B$2:$B$16,"Unknown")</f>
        <v>Spice Hub</v>
      </c>
      <c r="K107" t="str">
        <f>_xlfn.XLOOKUP(B107,Restaurants!$A$2:$A$16,Restaurants!$D$2:$D$16,"Unknown")</f>
        <v>Cloud Kitchen</v>
      </c>
    </row>
    <row r="108" spans="1:11" x14ac:dyDescent="0.35">
      <c r="A108" t="s">
        <v>288</v>
      </c>
      <c r="B108" t="s">
        <v>84</v>
      </c>
      <c r="C108" t="s">
        <v>14</v>
      </c>
      <c r="D108" t="s">
        <v>86</v>
      </c>
      <c r="E108" s="1">
        <v>46312</v>
      </c>
      <c r="F108">
        <v>40</v>
      </c>
      <c r="G108">
        <v>4</v>
      </c>
      <c r="H108">
        <v>495</v>
      </c>
      <c r="I108" t="s">
        <v>11</v>
      </c>
      <c r="J108" t="str">
        <f>_xlfn.XLOOKUP(B108,Restaurants!$A$2:$A$16,Restaurants!$B$2:$B$16,"Unknown")</f>
        <v>Dragon Bowl</v>
      </c>
      <c r="K108" t="str">
        <f>_xlfn.XLOOKUP(B108,Restaurants!$A$2:$A$16,Restaurants!$D$2:$D$16,"Unknown")</f>
        <v>QSR</v>
      </c>
    </row>
    <row r="109" spans="1:11" x14ac:dyDescent="0.35">
      <c r="A109" t="s">
        <v>289</v>
      </c>
      <c r="B109" t="s">
        <v>88</v>
      </c>
      <c r="C109" t="s">
        <v>17</v>
      </c>
      <c r="D109" t="s">
        <v>90</v>
      </c>
      <c r="E109" s="1">
        <v>46313</v>
      </c>
      <c r="F109">
        <v>29</v>
      </c>
      <c r="G109">
        <v>5</v>
      </c>
      <c r="H109">
        <v>805</v>
      </c>
      <c r="I109" t="s">
        <v>11</v>
      </c>
      <c r="J109" t="str">
        <f>_xlfn.XLOOKUP(B109,Restaurants!$A$2:$A$16,Restaurants!$B$2:$B$16,"Unknown")</f>
        <v>Pasta Point</v>
      </c>
      <c r="K109" t="str">
        <f>_xlfn.XLOOKUP(B109,Restaurants!$A$2:$A$16,Restaurants!$D$2:$D$16,"Unknown")</f>
        <v>Dine-in</v>
      </c>
    </row>
    <row r="110" spans="1:11" x14ac:dyDescent="0.35">
      <c r="A110" t="s">
        <v>290</v>
      </c>
      <c r="B110" t="s">
        <v>92</v>
      </c>
      <c r="C110" t="s">
        <v>21</v>
      </c>
      <c r="D110" t="s">
        <v>94</v>
      </c>
      <c r="E110" s="1">
        <v>46314</v>
      </c>
      <c r="F110">
        <v>44</v>
      </c>
      <c r="G110">
        <v>3</v>
      </c>
      <c r="H110">
        <v>410</v>
      </c>
      <c r="I110" t="s">
        <v>18</v>
      </c>
      <c r="J110" t="str">
        <f>_xlfn.XLOOKUP(B110,Restaurants!$A$2:$A$16,Restaurants!$B$2:$B$16,"Unknown")</f>
        <v>Taco Town</v>
      </c>
      <c r="K110" t="str">
        <f>_xlfn.XLOOKUP(B110,Restaurants!$A$2:$A$16,Restaurants!$D$2:$D$16,"Unknown")</f>
        <v>QSR</v>
      </c>
    </row>
    <row r="111" spans="1:11" x14ac:dyDescent="0.35">
      <c r="A111" t="s">
        <v>291</v>
      </c>
      <c r="B111" t="s">
        <v>95</v>
      </c>
      <c r="C111" t="s">
        <v>24</v>
      </c>
      <c r="D111" t="s">
        <v>97</v>
      </c>
      <c r="E111" s="1">
        <v>46315</v>
      </c>
      <c r="F111">
        <v>33</v>
      </c>
      <c r="G111">
        <v>4</v>
      </c>
      <c r="H111">
        <v>545</v>
      </c>
      <c r="I111" t="s">
        <v>11</v>
      </c>
      <c r="J111" t="str">
        <f>_xlfn.XLOOKUP(B111,Restaurants!$A$2:$A$16,Restaurants!$B$2:$B$16,"Unknown")</f>
        <v>Curry House</v>
      </c>
      <c r="K111" t="str">
        <f>_xlfn.XLOOKUP(B111,Restaurants!$A$2:$A$16,Restaurants!$D$2:$D$16,"Unknown")</f>
        <v>Dine-in</v>
      </c>
    </row>
    <row r="112" spans="1:11" x14ac:dyDescent="0.35">
      <c r="A112" t="s">
        <v>292</v>
      </c>
      <c r="B112" t="s">
        <v>98</v>
      </c>
      <c r="C112" t="s">
        <v>10</v>
      </c>
      <c r="D112" t="s">
        <v>82</v>
      </c>
      <c r="E112" s="1">
        <v>46316</v>
      </c>
      <c r="F112">
        <v>26</v>
      </c>
      <c r="G112">
        <v>5</v>
      </c>
      <c r="H112">
        <v>715</v>
      </c>
      <c r="I112" t="s">
        <v>11</v>
      </c>
      <c r="J112" t="str">
        <f>_xlfn.XLOOKUP(B112,Restaurants!$A$2:$A$16,Restaurants!$B$2:$B$16,"Unknown")</f>
        <v>Desi Zaika</v>
      </c>
      <c r="K112" t="str">
        <f>_xlfn.XLOOKUP(B112,Restaurants!$A$2:$A$16,Restaurants!$D$2:$D$16,"Unknown")</f>
        <v>QSR</v>
      </c>
    </row>
    <row r="113" spans="1:11" x14ac:dyDescent="0.35">
      <c r="A113" t="s">
        <v>293</v>
      </c>
      <c r="B113" t="s">
        <v>100</v>
      </c>
      <c r="C113" t="s">
        <v>14</v>
      </c>
      <c r="D113" t="s">
        <v>86</v>
      </c>
      <c r="E113" s="1">
        <v>46317</v>
      </c>
      <c r="F113">
        <v>46</v>
      </c>
      <c r="G113">
        <v>3</v>
      </c>
      <c r="H113">
        <v>430</v>
      </c>
      <c r="I113" t="s">
        <v>18</v>
      </c>
      <c r="J113" t="str">
        <f>_xlfn.XLOOKUP(B113,Restaurants!$A$2:$A$16,Restaurants!$B$2:$B$16,"Unknown")</f>
        <v>China Garden</v>
      </c>
      <c r="K113" t="str">
        <f>_xlfn.XLOOKUP(B113,Restaurants!$A$2:$A$16,Restaurants!$D$2:$D$16,"Unknown")</f>
        <v>Dine-in</v>
      </c>
    </row>
    <row r="114" spans="1:11" x14ac:dyDescent="0.35">
      <c r="A114" t="s">
        <v>294</v>
      </c>
      <c r="B114" t="s">
        <v>102</v>
      </c>
      <c r="C114" t="s">
        <v>17</v>
      </c>
      <c r="D114" t="s">
        <v>90</v>
      </c>
      <c r="E114" s="1">
        <v>46318</v>
      </c>
      <c r="F114">
        <v>32</v>
      </c>
      <c r="G114">
        <v>5</v>
      </c>
      <c r="H114">
        <v>755</v>
      </c>
      <c r="I114" t="s">
        <v>11</v>
      </c>
      <c r="J114" t="str">
        <f>_xlfn.XLOOKUP(B114,Restaurants!$A$2:$A$16,Restaurants!$B$2:$B$16,"Unknown")</f>
        <v>Italiano</v>
      </c>
      <c r="K114" t="str">
        <f>_xlfn.XLOOKUP(B114,Restaurants!$A$2:$A$16,Restaurants!$D$2:$D$16,"Unknown")</f>
        <v>Cloud Kitchen</v>
      </c>
    </row>
    <row r="115" spans="1:11" x14ac:dyDescent="0.35">
      <c r="A115" t="s">
        <v>295</v>
      </c>
      <c r="B115" t="s">
        <v>104</v>
      </c>
      <c r="C115" t="s">
        <v>21</v>
      </c>
      <c r="D115" t="s">
        <v>94</v>
      </c>
      <c r="E115" s="1">
        <v>46319</v>
      </c>
      <c r="F115">
        <v>39</v>
      </c>
      <c r="G115">
        <v>4</v>
      </c>
      <c r="H115">
        <v>460</v>
      </c>
      <c r="I115" t="s">
        <v>11</v>
      </c>
      <c r="J115" t="str">
        <f>_xlfn.XLOOKUP(B115,Restaurants!$A$2:$A$16,Restaurants!$B$2:$B$16,"Unknown")</f>
        <v>Mexican Grill</v>
      </c>
      <c r="K115" t="str">
        <f>_xlfn.XLOOKUP(B115,Restaurants!$A$2:$A$16,Restaurants!$D$2:$D$16,"Unknown")</f>
        <v>Dine-in</v>
      </c>
    </row>
    <row r="116" spans="1:11" x14ac:dyDescent="0.35">
      <c r="A116" t="s">
        <v>296</v>
      </c>
      <c r="B116" t="s">
        <v>106</v>
      </c>
      <c r="C116" t="s">
        <v>24</v>
      </c>
      <c r="D116" t="s">
        <v>97</v>
      </c>
      <c r="E116" s="1">
        <v>46320</v>
      </c>
      <c r="F116">
        <v>42</v>
      </c>
      <c r="G116">
        <v>3</v>
      </c>
      <c r="H116">
        <v>520</v>
      </c>
      <c r="I116" t="s">
        <v>18</v>
      </c>
      <c r="J116" t="str">
        <f>_xlfn.XLOOKUP(B116,Restaurants!$A$2:$A$16,Restaurants!$B$2:$B$16,"Unknown")</f>
        <v>Food Factory</v>
      </c>
      <c r="K116" t="str">
        <f>_xlfn.XLOOKUP(B116,Restaurants!$A$2:$A$16,Restaurants!$D$2:$D$16,"Unknown")</f>
        <v>QSR</v>
      </c>
    </row>
    <row r="117" spans="1:11" x14ac:dyDescent="0.35">
      <c r="A117" t="s">
        <v>297</v>
      </c>
      <c r="B117" t="s">
        <v>108</v>
      </c>
      <c r="C117" t="s">
        <v>10</v>
      </c>
      <c r="D117" t="s">
        <v>82</v>
      </c>
      <c r="E117" s="1">
        <v>46321</v>
      </c>
      <c r="F117">
        <v>31</v>
      </c>
      <c r="G117">
        <v>5</v>
      </c>
      <c r="H117">
        <v>685</v>
      </c>
      <c r="I117" t="s">
        <v>11</v>
      </c>
      <c r="J117" t="str">
        <f>_xlfn.XLOOKUP(B117,Restaurants!$A$2:$A$16,Restaurants!$B$2:$B$16,"Unknown")</f>
        <v>Punjabi Tadka</v>
      </c>
      <c r="K117" t="str">
        <f>_xlfn.XLOOKUP(B117,Restaurants!$A$2:$A$16,Restaurants!$D$2:$D$16,"Unknown")</f>
        <v>Dine-in</v>
      </c>
    </row>
    <row r="118" spans="1:11" x14ac:dyDescent="0.35">
      <c r="A118" t="s">
        <v>298</v>
      </c>
      <c r="B118" t="s">
        <v>110</v>
      </c>
      <c r="C118" t="s">
        <v>14</v>
      </c>
      <c r="D118" t="s">
        <v>86</v>
      </c>
      <c r="E118" s="1">
        <v>46322</v>
      </c>
      <c r="F118">
        <v>48</v>
      </c>
      <c r="G118">
        <v>3</v>
      </c>
      <c r="H118">
        <v>415</v>
      </c>
      <c r="I118" t="s">
        <v>18</v>
      </c>
      <c r="J118" t="str">
        <f>_xlfn.XLOOKUP(B118,Restaurants!$A$2:$A$16,Restaurants!$B$2:$B$16,"Unknown")</f>
        <v>Wok Express</v>
      </c>
      <c r="K118" t="str">
        <f>_xlfn.XLOOKUP(B118,Restaurants!$A$2:$A$16,Restaurants!$D$2:$D$16,"Unknown")</f>
        <v>Cloud Kitchen</v>
      </c>
    </row>
    <row r="119" spans="1:11" x14ac:dyDescent="0.35">
      <c r="A119" t="s">
        <v>299</v>
      </c>
      <c r="B119" t="s">
        <v>112</v>
      </c>
      <c r="C119" t="s">
        <v>17</v>
      </c>
      <c r="D119" t="s">
        <v>90</v>
      </c>
      <c r="E119" s="1">
        <v>46323</v>
      </c>
      <c r="F119">
        <v>27</v>
      </c>
      <c r="G119">
        <v>5</v>
      </c>
      <c r="H119">
        <v>820</v>
      </c>
      <c r="I119" t="s">
        <v>11</v>
      </c>
      <c r="J119" t="str">
        <f>_xlfn.XLOOKUP(B119,Restaurants!$A$2:$A$16,Restaurants!$B$2:$B$16,"Unknown")</f>
        <v>Pizza Corner</v>
      </c>
      <c r="K119" t="str">
        <f>_xlfn.XLOOKUP(B119,Restaurants!$A$2:$A$16,Restaurants!$D$2:$D$16,"Unknown")</f>
        <v>QSR</v>
      </c>
    </row>
    <row r="120" spans="1:11" x14ac:dyDescent="0.35">
      <c r="A120" t="s">
        <v>300</v>
      </c>
      <c r="B120" t="s">
        <v>114</v>
      </c>
      <c r="C120" t="s">
        <v>21</v>
      </c>
      <c r="D120" t="s">
        <v>94</v>
      </c>
      <c r="E120" s="1">
        <v>46324</v>
      </c>
      <c r="F120">
        <v>40</v>
      </c>
      <c r="G120">
        <v>4</v>
      </c>
      <c r="H120">
        <v>450</v>
      </c>
      <c r="I120" t="s">
        <v>11</v>
      </c>
      <c r="J120" t="str">
        <f>_xlfn.XLOOKUP(B120,Restaurants!$A$2:$A$16,Restaurants!$B$2:$B$16,"Unknown")</f>
        <v>Burrito House</v>
      </c>
      <c r="K120" t="str">
        <f>_xlfn.XLOOKUP(B120,Restaurants!$A$2:$A$16,Restaurants!$D$2:$D$16,"Unknown")</f>
        <v>Cloud Kitchen</v>
      </c>
    </row>
    <row r="121" spans="1:11" x14ac:dyDescent="0.35">
      <c r="A121" t="s">
        <v>301</v>
      </c>
      <c r="B121" t="s">
        <v>116</v>
      </c>
      <c r="C121" t="s">
        <v>24</v>
      </c>
      <c r="D121" t="s">
        <v>97</v>
      </c>
      <c r="E121" s="1">
        <v>46325</v>
      </c>
      <c r="F121">
        <v>36</v>
      </c>
      <c r="G121">
        <v>4</v>
      </c>
      <c r="H121">
        <v>555</v>
      </c>
      <c r="I121" t="s">
        <v>11</v>
      </c>
      <c r="J121" t="str">
        <f>_xlfn.XLOOKUP(B121,Restaurants!$A$2:$A$16,Restaurants!$B$2:$B$16,"Unknown")</f>
        <v>Ahmedabad Bites</v>
      </c>
      <c r="K121" t="str">
        <f>_xlfn.XLOOKUP(B121,Restaurants!$A$2:$A$16,Restaurants!$D$2:$D$16,"Unknown")</f>
        <v>Dine-in</v>
      </c>
    </row>
  </sheetData>
  <conditionalFormatting sqref="H2:H121">
    <cfRule type="top10" dxfId="0" priority="1" percent="1" rank="10"/>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E2A12-97AF-4D26-96FD-3B3995C51065}">
  <dimension ref="A1:F6"/>
  <sheetViews>
    <sheetView workbookViewId="0">
      <selection activeCell="C5" sqref="C5"/>
    </sheetView>
  </sheetViews>
  <sheetFormatPr defaultRowHeight="14.5" x14ac:dyDescent="0.35"/>
  <cols>
    <col min="2" max="2" width="18.1796875" customWidth="1"/>
    <col min="3" max="3" width="21.26953125" customWidth="1"/>
    <col min="4" max="4" width="18" customWidth="1"/>
    <col min="5" max="5" width="13.7265625" customWidth="1"/>
    <col min="6" max="6" width="15.54296875" customWidth="1"/>
  </cols>
  <sheetData>
    <row r="1" spans="1:6" x14ac:dyDescent="0.35">
      <c r="A1" s="36" t="s">
        <v>145</v>
      </c>
      <c r="B1" s="36" t="s">
        <v>304</v>
      </c>
      <c r="C1" s="37" t="s">
        <v>305</v>
      </c>
      <c r="D1" s="36" t="s">
        <v>306</v>
      </c>
      <c r="E1" s="36" t="s">
        <v>307</v>
      </c>
      <c r="F1" s="36" t="s">
        <v>308</v>
      </c>
    </row>
    <row r="2" spans="1:6" x14ac:dyDescent="0.35">
      <c r="A2" t="s">
        <v>82</v>
      </c>
      <c r="B2">
        <f>AVERAGEIF(Orders!$D$2:$D$121,A2,Orders!$F$2:$F$121)</f>
        <v>30.5</v>
      </c>
      <c r="C2" s="9" cm="1">
        <f t="array" ref="C2">MEDIAN(_xlfn._xlws.FILTER(Orders!$F$2:$F$121,Orders!$D$2:$D$121=A2))</f>
        <v>30.5</v>
      </c>
      <c r="D2" s="16" cm="1">
        <f t="array" ref="D2">_xlfn.STDEV.S(_xlfn._xlws.FILTER(Orders!$F$2:$F$121,Orders!$D$2:$D$121=A2))</f>
        <v>2.6539552107881486</v>
      </c>
      <c r="E2" s="17">
        <f>AVERAGEIF(Orders!$D$2:$D$121,A2,Orders!$H$2:$H$121)</f>
        <v>677.70833333333337</v>
      </c>
      <c r="F2" t="str">
        <f>IF(B2&gt;MEDIAN(Orders!$F$2:$F$121),"Above Median","Normal")</f>
        <v>Normal</v>
      </c>
    </row>
    <row r="3" spans="1:6" x14ac:dyDescent="0.35">
      <c r="A3" t="s">
        <v>86</v>
      </c>
      <c r="B3">
        <f>AVERAGEIF(Orders!$D$2:$D$121,A3,Orders!$F$2:$F$121)</f>
        <v>43.375</v>
      </c>
      <c r="C3" s="9" cm="1">
        <f t="array" ref="C3">MEDIAN(_xlfn._xlws.FILTER(Orders!$F$2:$F$121,Orders!$D$2:$D$121=A3))</f>
        <v>43.5</v>
      </c>
      <c r="D3" s="16" cm="1">
        <f t="array" ref="D3">_xlfn.STDEV.S(_xlfn._xlws.FILTER(Orders!$F$2:$F$121,Orders!$D$2:$D$121=A3))</f>
        <v>3.6926778312245694</v>
      </c>
      <c r="E3" s="17">
        <f>AVERAGEIF(Orders!$D$2:$D$121,A3,Orders!$H$2:$H$121)</f>
        <v>458.95833333333331</v>
      </c>
      <c r="F3" t="str">
        <f>IF(B3&gt;MEDIAN(Orders!$F$2:$F$121),"Above Median","Normal")</f>
        <v>Above Median</v>
      </c>
    </row>
    <row r="4" spans="1:6" x14ac:dyDescent="0.35">
      <c r="A4" t="s">
        <v>90</v>
      </c>
      <c r="B4">
        <f>AVERAGEIF(Orders!$D$2:$D$121,A4,Orders!$F$2:$F$121)</f>
        <v>29.25</v>
      </c>
      <c r="C4" s="9" cm="1">
        <f t="array" ref="C4">MEDIAN(_xlfn._xlws.FILTER(Orders!$F$2:$F$121,Orders!$D$2:$D$121=A4))</f>
        <v>29</v>
      </c>
      <c r="D4" s="16" cm="1">
        <f t="array" ref="D4">_xlfn.STDEV.S(_xlfn._xlws.FILTER(Orders!$F$2:$F$121,Orders!$D$2:$D$121=A4))</f>
        <v>2.3078316568852544</v>
      </c>
      <c r="E4" s="17">
        <f>AVERAGEIF(Orders!$D$2:$D$121,A4,Orders!$H$2:$H$121)</f>
        <v>766.04166666666663</v>
      </c>
      <c r="F4" t="str">
        <f>IF(B4&gt;MEDIAN(Orders!$F$2:$F$121),"Above Median","Normal")</f>
        <v>Normal</v>
      </c>
    </row>
    <row r="5" spans="1:6" x14ac:dyDescent="0.35">
      <c r="A5" t="s">
        <v>94</v>
      </c>
      <c r="B5">
        <f>AVERAGEIF(Orders!$D$2:$D$121,A5,Orders!$F$2:$F$121)</f>
        <v>43.375</v>
      </c>
      <c r="C5" s="9" cm="1">
        <f t="array" ref="C5">MEDIAN(_xlfn._xlws.FILTER(Orders!$F$2:$F$121,Orders!$D$2:$D$121=A5))</f>
        <v>41.5</v>
      </c>
      <c r="D5" s="16" cm="1">
        <f t="array" ref="D5">_xlfn.STDEV.S(_xlfn._xlws.FILTER(Orders!$F$2:$F$121,Orders!$D$2:$D$121=A5))</f>
        <v>4.9940181608905219</v>
      </c>
      <c r="E5" s="17">
        <f>AVERAGEIF(Orders!$D$2:$D$121,A5,Orders!$H$2:$H$121)</f>
        <v>434.79166666666669</v>
      </c>
      <c r="F5" t="str">
        <f>IF(B5&gt;MEDIAN(Orders!$F$2:$F$121),"Above Median","Normal")</f>
        <v>Above Median</v>
      </c>
    </row>
    <row r="6" spans="1:6" x14ac:dyDescent="0.35">
      <c r="A6" t="s">
        <v>97</v>
      </c>
      <c r="B6" s="17">
        <f>AVERAGEIF(Orders!$D$2:$D$121,A6,Orders!$F$2:$F$121)</f>
        <v>37.458333333333336</v>
      </c>
      <c r="C6" s="9" cm="1">
        <f t="array" ref="C6">MEDIAN(_xlfn._xlws.FILTER(Orders!$F$2:$F$121,Orders!$D$2:$D$121=A6))</f>
        <v>36</v>
      </c>
      <c r="D6" s="16" cm="1">
        <f t="array" ref="D6">_xlfn.STDEV.S(_xlfn._xlws.FILTER(Orders!$F$2:$F$121,Orders!$D$2:$D$121=A6))</f>
        <v>4.7363457448219357</v>
      </c>
      <c r="E6" s="17">
        <f>AVERAGEIF(Orders!$D$2:$D$121,A6,Orders!$H$2:$H$121)</f>
        <v>540.20833333333337</v>
      </c>
      <c r="F6" t="str">
        <f>IF(B6&gt;MEDIAN(Orders!$F$2:$F$121),"Above Median","Normal")</f>
        <v>Above Median</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9F8B-75C7-47D3-BA76-35D115540A78}">
  <dimension ref="A3:G10"/>
  <sheetViews>
    <sheetView workbookViewId="0">
      <selection activeCell="B8" sqref="B8"/>
    </sheetView>
  </sheetViews>
  <sheetFormatPr defaultRowHeight="14.5" x14ac:dyDescent="0.35"/>
  <cols>
    <col min="1" max="2" width="15.26953125" bestFit="1" customWidth="1"/>
    <col min="3" max="6" width="5.81640625" bestFit="1" customWidth="1"/>
    <col min="7" max="7" width="10.7265625" bestFit="1" customWidth="1"/>
  </cols>
  <sheetData>
    <row r="3" spans="1:7" x14ac:dyDescent="0.35">
      <c r="A3" s="25" t="s">
        <v>153</v>
      </c>
      <c r="B3" s="25" t="s">
        <v>152</v>
      </c>
    </row>
    <row r="4" spans="1:7" x14ac:dyDescent="0.35">
      <c r="A4" s="25" t="s">
        <v>150</v>
      </c>
      <c r="B4" t="s">
        <v>97</v>
      </c>
      <c r="C4" t="s">
        <v>90</v>
      </c>
      <c r="D4" t="s">
        <v>82</v>
      </c>
      <c r="E4" t="s">
        <v>86</v>
      </c>
      <c r="F4" t="s">
        <v>94</v>
      </c>
      <c r="G4" t="s">
        <v>151</v>
      </c>
    </row>
    <row r="5" spans="1:7" x14ac:dyDescent="0.35">
      <c r="A5" s="26" t="s">
        <v>14</v>
      </c>
      <c r="B5" s="27"/>
      <c r="C5" s="27"/>
      <c r="D5" s="27"/>
      <c r="E5" s="27">
        <v>11015</v>
      </c>
      <c r="F5" s="27"/>
      <c r="G5" s="27">
        <v>11015</v>
      </c>
    </row>
    <row r="6" spans="1:7" x14ac:dyDescent="0.35">
      <c r="A6" s="26" t="s">
        <v>24</v>
      </c>
      <c r="B6" s="27">
        <v>12965</v>
      </c>
      <c r="C6" s="27"/>
      <c r="D6" s="27"/>
      <c r="E6" s="27"/>
      <c r="F6" s="27"/>
      <c r="G6" s="27">
        <v>12965</v>
      </c>
    </row>
    <row r="7" spans="1:7" x14ac:dyDescent="0.35">
      <c r="A7" s="26" t="s">
        <v>10</v>
      </c>
      <c r="B7" s="27"/>
      <c r="C7" s="27"/>
      <c r="D7" s="27">
        <v>16265</v>
      </c>
      <c r="E7" s="27"/>
      <c r="F7" s="27"/>
      <c r="G7" s="27">
        <v>16265</v>
      </c>
    </row>
    <row r="8" spans="1:7" x14ac:dyDescent="0.35">
      <c r="A8" s="26" t="s">
        <v>17</v>
      </c>
      <c r="B8" s="27"/>
      <c r="C8" s="27">
        <v>18385</v>
      </c>
      <c r="D8" s="27"/>
      <c r="E8" s="27"/>
      <c r="F8" s="27"/>
      <c r="G8" s="27">
        <v>18385</v>
      </c>
    </row>
    <row r="9" spans="1:7" x14ac:dyDescent="0.35">
      <c r="A9" s="26" t="s">
        <v>21</v>
      </c>
      <c r="B9" s="27"/>
      <c r="C9" s="27"/>
      <c r="D9" s="27"/>
      <c r="E9" s="27"/>
      <c r="F9" s="27">
        <v>10435</v>
      </c>
      <c r="G9" s="27">
        <v>10435</v>
      </c>
    </row>
    <row r="10" spans="1:7" x14ac:dyDescent="0.35">
      <c r="A10" s="26" t="s">
        <v>151</v>
      </c>
      <c r="B10" s="27">
        <v>12965</v>
      </c>
      <c r="C10" s="27">
        <v>18385</v>
      </c>
      <c r="D10" s="27">
        <v>16265</v>
      </c>
      <c r="E10" s="27">
        <v>11015</v>
      </c>
      <c r="F10" s="27">
        <v>10435</v>
      </c>
      <c r="G10" s="27">
        <v>69065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FB51-83CD-461D-8F45-DBB4EE0A5C31}">
  <dimension ref="A3:B8"/>
  <sheetViews>
    <sheetView workbookViewId="0">
      <selection activeCell="A5" sqref="A5"/>
    </sheetView>
  </sheetViews>
  <sheetFormatPr defaultRowHeight="14.5" x14ac:dyDescent="0.35"/>
  <cols>
    <col min="1" max="1" width="12.36328125" bestFit="1" customWidth="1"/>
    <col min="2" max="2" width="15.81640625" bestFit="1" customWidth="1"/>
  </cols>
  <sheetData>
    <row r="3" spans="1:2" x14ac:dyDescent="0.35">
      <c r="A3" s="25" t="s">
        <v>150</v>
      </c>
      <c r="B3" t="s">
        <v>310</v>
      </c>
    </row>
    <row r="4" spans="1:2" x14ac:dyDescent="0.35">
      <c r="A4" s="28" t="s">
        <v>155</v>
      </c>
      <c r="B4" s="27">
        <v>30</v>
      </c>
    </row>
    <row r="5" spans="1:2" x14ac:dyDescent="0.35">
      <c r="A5" s="28" t="s">
        <v>156</v>
      </c>
      <c r="B5" s="27">
        <v>30</v>
      </c>
    </row>
    <row r="6" spans="1:2" x14ac:dyDescent="0.35">
      <c r="A6" s="28" t="s">
        <v>157</v>
      </c>
      <c r="B6" s="27">
        <v>30</v>
      </c>
    </row>
    <row r="7" spans="1:2" x14ac:dyDescent="0.35">
      <c r="A7" s="28" t="s">
        <v>309</v>
      </c>
      <c r="B7" s="27">
        <v>30</v>
      </c>
    </row>
    <row r="8" spans="1:2" x14ac:dyDescent="0.35">
      <c r="A8" s="28" t="s">
        <v>151</v>
      </c>
      <c r="B8" s="27">
        <v>120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7815-AE0F-4EDB-A10D-530D55CDF541}">
  <dimension ref="A1:E2"/>
  <sheetViews>
    <sheetView workbookViewId="0">
      <selection activeCell="E2" sqref="E2"/>
    </sheetView>
  </sheetViews>
  <sheetFormatPr defaultRowHeight="14.5" x14ac:dyDescent="0.35"/>
  <cols>
    <col min="1" max="1" width="13.81640625" customWidth="1"/>
    <col min="3" max="3" width="14" customWidth="1"/>
    <col min="5" max="5" width="17.54296875" customWidth="1"/>
  </cols>
  <sheetData>
    <row r="1" spans="1:5" x14ac:dyDescent="0.35">
      <c r="A1" t="s">
        <v>311</v>
      </c>
      <c r="C1" t="s">
        <v>312</v>
      </c>
      <c r="E1" t="s">
        <v>313</v>
      </c>
    </row>
    <row r="2" spans="1:5" x14ac:dyDescent="0.35">
      <c r="A2">
        <f>SUM(Orders!$H$2:$H$121)</f>
        <v>69065</v>
      </c>
      <c r="C2">
        <f>AVERAGE(Orders!$G$2:$G$121)</f>
        <v>4.0999999999999996</v>
      </c>
      <c r="E2" s="38">
        <f>COUNTIFS(Orders!$I$2:$I$121,"Delivered",Orders!$F$2:$F$121,"&lt;=40")/COUNTA(Orders!$A$2:$A$121)</f>
        <v>0.68333333333333335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Task1 Orders</vt:lpstr>
      <vt:lpstr>Premium Orders</vt:lpstr>
      <vt:lpstr>Restaurants</vt:lpstr>
      <vt:lpstr>Orders Task2</vt:lpstr>
      <vt:lpstr>Task3 Orders</vt:lpstr>
      <vt:lpstr>Pivot Table-1</vt:lpstr>
      <vt:lpstr>Pivot Table-2</vt:lpstr>
      <vt:lpstr>Task4_Data</vt:lpstr>
      <vt:lpstr>Stats Summary</vt:lpstr>
      <vt:lpstr>Orders</vt:lpstr>
      <vt:lpstr>Zone stats</vt:lpstr>
      <vt:lpstr>Sheet13</vt:lpstr>
      <vt:lpstr>Sheet14</vt:lpstr>
      <vt:lpstr>Dashboard</vt:lpstr>
      <vt:lpstr>'Task1 Orders'!Criteria</vt:lpstr>
      <vt:lpstr>'Task1 Orders'!Extract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prachi tomar</cp:lastModifiedBy>
  <dcterms:created xsi:type="dcterms:W3CDTF">2026-10-02T07:04:32Z</dcterms:created>
  <dcterms:modified xsi:type="dcterms:W3CDTF">2026-10-03T13:12:04Z</dcterms:modified>
</cp:coreProperties>
</file>